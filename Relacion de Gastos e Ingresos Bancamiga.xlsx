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DERT\Downloads\"/>
    </mc:Choice>
  </mc:AlternateContent>
  <bookViews>
    <workbookView xWindow="0" yWindow="0" windowWidth="19200" windowHeight="6770" tabRatio="695" firstSheet="2" activeTab="2"/>
  </bookViews>
  <sheets>
    <sheet name="Hoja1" sheetId="5" r:id="rId1"/>
    <sheet name="Pagos realizados desde SUM. SEV" sheetId="7" r:id="rId2"/>
    <sheet name="General" sheetId="4" r:id="rId3"/>
    <sheet name="Abril 2026" sheetId="1" r:id="rId4"/>
    <sheet name="Mayo 2026" sheetId="2" r:id="rId5"/>
    <sheet name="Junio 2026" sheetId="3" r:id="rId6"/>
    <sheet name="Julio 2026" sheetId="6" r:id="rId7"/>
    <sheet name="Agosto 2026" sheetId="8" r:id="rId8"/>
    <sheet name="Septiembre 2026" sheetId="9" r:id="rId9"/>
    <sheet name="Octubre 2026" sheetId="10" r:id="rId10"/>
  </sheets>
  <definedNames>
    <definedName name="_xlnm.Print_Area" localSheetId="4">'Mayo 2026'!$A$1:$J$48</definedName>
    <definedName name="_xlnm.Print_Area" localSheetId="1">'Pagos realizados desde SUM. SEV'!$A$1:$E$15</definedName>
    <definedName name="SegmentaciónDeDatos_Concepto">#N/A</definedName>
    <definedName name="SegmentaciónDeDatos_Destinado">#N/A</definedName>
    <definedName name="SegmentaciónDeDatos_Meses">#N/A</definedName>
  </definedNames>
  <calcPr calcId="162913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40" i="4" l="1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3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E906" i="4"/>
  <c r="M768" i="4"/>
  <c r="M767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G1120" i="4" l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117" i="4"/>
  <c r="G1118" i="4" s="1"/>
  <c r="G1119" i="4" s="1"/>
  <c r="G1112" i="4"/>
  <c r="G1113" i="4" s="1"/>
  <c r="G1114" i="4" s="1"/>
  <c r="G1115" i="4" s="1"/>
  <c r="G354" i="9"/>
  <c r="F354" i="9"/>
  <c r="E354" i="9"/>
  <c r="D354" i="9"/>
  <c r="H353" i="9"/>
  <c r="H351" i="9"/>
  <c r="H352" i="9" s="1"/>
  <c r="H350" i="9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6" i="10"/>
  <c r="H107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5" i="10" l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G1038" i="4" l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H349" i="9" l="1"/>
  <c r="H348" i="9"/>
  <c r="H347" i="9"/>
  <c r="H346" i="9"/>
  <c r="H345" i="9"/>
  <c r="H344" i="9"/>
  <c r="H343" i="9"/>
  <c r="H342" i="9"/>
  <c r="H341" i="9"/>
  <c r="H340" i="9"/>
  <c r="H338" i="9"/>
  <c r="H339" i="9"/>
  <c r="H337" i="9"/>
  <c r="H335" i="9"/>
  <c r="H336" i="9"/>
  <c r="H334" i="9"/>
  <c r="H333" i="9"/>
  <c r="H331" i="9"/>
  <c r="H332" i="9"/>
  <c r="H330" i="9"/>
  <c r="H329" i="9"/>
  <c r="H328" i="9"/>
  <c r="H327" i="9"/>
  <c r="H326" i="9"/>
  <c r="H325" i="9"/>
  <c r="H324" i="9"/>
  <c r="G767" i="4" l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698" i="4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H5" i="9" l="1"/>
  <c r="H6" i="9" l="1"/>
  <c r="H7" i="9" s="1"/>
  <c r="H8" i="9" s="1"/>
  <c r="H9" i="9" s="1"/>
  <c r="H10" i="9" s="1"/>
  <c r="H11" i="9" s="1"/>
  <c r="H328" i="8"/>
  <c r="E329" i="8"/>
  <c r="H12" i="9" l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G329" i="8"/>
  <c r="F329" i="8"/>
  <c r="D329" i="8"/>
  <c r="H155" i="9" l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7" i="8"/>
  <c r="H326" i="8"/>
  <c r="H324" i="8"/>
  <c r="H325" i="8" s="1"/>
  <c r="H323" i="8" l="1"/>
  <c r="H322" i="8"/>
  <c r="H321" i="8"/>
  <c r="H320" i="8"/>
  <c r="H319" i="8"/>
  <c r="H318" i="8"/>
  <c r="H317" i="8"/>
  <c r="H316" i="8"/>
  <c r="H315" i="8" l="1"/>
  <c r="H314" i="8"/>
  <c r="H313" i="8"/>
  <c r="H312" i="8"/>
  <c r="H311" i="8"/>
  <c r="H310" i="8"/>
  <c r="H309" i="8"/>
  <c r="H308" i="8"/>
  <c r="H307" i="8"/>
  <c r="H306" i="8"/>
  <c r="H305" i="8"/>
  <c r="H304" i="8"/>
  <c r="G244" i="6" l="1"/>
  <c r="G617" i="4" l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444" i="4" l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443" i="4"/>
  <c r="G425" i="4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24" i="4"/>
  <c r="H5" i="8" l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l="1"/>
  <c r="H265" i="8" s="1"/>
  <c r="H266" i="8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F244" i="6"/>
  <c r="E244" i="6"/>
  <c r="D244" i="6"/>
  <c r="G411" i="4" l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380" i="4" l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373" i="4" l="1"/>
  <c r="G374" i="4" s="1"/>
  <c r="G375" i="4" s="1"/>
  <c r="G376" i="4" s="1"/>
  <c r="G377" i="4" s="1"/>
  <c r="G378" i="4" s="1"/>
  <c r="G379" i="4" s="1"/>
  <c r="G207" i="4" l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206" i="4"/>
  <c r="G205" i="4"/>
  <c r="F111" i="3" l="1"/>
  <c r="D111" i="3"/>
  <c r="G62" i="1" l="1"/>
  <c r="G148" i="4" l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D14" i="7"/>
  <c r="H26" i="6" l="1"/>
  <c r="H21" i="6"/>
  <c r="H22" i="6" s="1"/>
  <c r="H23" i="6" s="1"/>
  <c r="H24" i="6" s="1"/>
  <c r="H25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20" i="6"/>
  <c r="H19" i="6"/>
  <c r="H18" i="6"/>
  <c r="H17" i="6"/>
  <c r="H72" i="6" l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16" i="6"/>
  <c r="H15" i="6" l="1"/>
  <c r="H14" i="6"/>
  <c r="H13" i="6"/>
  <c r="H12" i="6"/>
  <c r="H11" i="6" l="1"/>
  <c r="H10" i="6"/>
  <c r="H9" i="6"/>
  <c r="H8" i="6"/>
  <c r="H7" i="6"/>
  <c r="H6" i="6"/>
  <c r="H5" i="6"/>
  <c r="E111" i="3" l="1"/>
  <c r="G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58" i="4" l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100" i="4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E45" i="2" l="1"/>
  <c r="G45" i="2" l="1"/>
  <c r="F45" i="2"/>
  <c r="D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F62" i="1"/>
  <c r="E62" i="1"/>
  <c r="D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<sst xmlns="http://schemas.openxmlformats.org/spreadsheetml/2006/main" count="8849" uniqueCount="828">
  <si>
    <t xml:space="preserve">                                      INGRESOS Y EGRESOS (ECOVIDA) ABRIL 2026</t>
  </si>
  <si>
    <t>Fecha</t>
  </si>
  <si>
    <t>Descripción</t>
  </si>
  <si>
    <t>Monto $ -</t>
  </si>
  <si>
    <t>Monto Bs -</t>
  </si>
  <si>
    <t>Monto $ +</t>
  </si>
  <si>
    <t>Metodo Bs +</t>
  </si>
  <si>
    <t>Saldo total</t>
  </si>
  <si>
    <t>Método de pago</t>
  </si>
  <si>
    <t>Credito Inmediato</t>
  </si>
  <si>
    <t>Transferencia</t>
  </si>
  <si>
    <t>Gastos de la oficina</t>
  </si>
  <si>
    <t>90,48</t>
  </si>
  <si>
    <t>Punto</t>
  </si>
  <si>
    <t>Gastos de la oficina 2</t>
  </si>
  <si>
    <t>Recoge basura</t>
  </si>
  <si>
    <t>Dispensador de agua y Cafetera</t>
  </si>
  <si>
    <t>Varios para estación de café</t>
  </si>
  <si>
    <t>Varios para oficina (Sin factura)</t>
  </si>
  <si>
    <t>Compra de Mini UPS (WIFI)</t>
  </si>
  <si>
    <t>Papeleria</t>
  </si>
  <si>
    <t>Café. Azucar, Vasos, entre otros</t>
  </si>
  <si>
    <t>Servicio e impresión</t>
  </si>
  <si>
    <t>Pago de abono de la Maquinaria 30%</t>
  </si>
  <si>
    <t xml:space="preserve">Comisión Bancaria </t>
  </si>
  <si>
    <t>Banco</t>
  </si>
  <si>
    <t>Transpaso a la cuenta de Yohaly para pago de Nomina</t>
  </si>
  <si>
    <t>Abono de papel para el vidrio</t>
  </si>
  <si>
    <t>Almuerzo de la Sra. Yasmira</t>
  </si>
  <si>
    <t>Traspaso de Comision bancaria para pago de nomina 0,003% de 753.004,31</t>
  </si>
  <si>
    <t>Compra de Radios para el vertedero</t>
  </si>
  <si>
    <t>Comision Bancaria</t>
  </si>
  <si>
    <t>Pago SAREN WEB</t>
  </si>
  <si>
    <t xml:space="preserve"> Transferencia Tealca (Radios)</t>
  </si>
  <si>
    <t xml:space="preserve">Recarga de Toner </t>
  </si>
  <si>
    <t>Traspaso a Yasmira</t>
  </si>
  <si>
    <t>Traspaso a Yasmira para gastos varios</t>
  </si>
  <si>
    <t>Pago de Cisternas para el Vertedero</t>
  </si>
  <si>
    <t>Pago de Facturas pendientes con el Sr Juan</t>
  </si>
  <si>
    <t xml:space="preserve">Pago de envio de antena y factura de radios </t>
  </si>
  <si>
    <t>Credito Inmediato (Pago de Nomina)</t>
  </si>
  <si>
    <t>Traspaso para el pago de nomina</t>
  </si>
  <si>
    <t>Credito Inmediato (Diferencia de Nomina)</t>
  </si>
  <si>
    <t xml:space="preserve">Pago de Diferencia de Nomina </t>
  </si>
  <si>
    <t>Resma de hojas blanca/carta</t>
  </si>
  <si>
    <t>Lapiz Corrector</t>
  </si>
  <si>
    <t xml:space="preserve">                                      INGRESOS Y EGRESOS (ECOVIDA)</t>
  </si>
  <si>
    <t>Mantenimiento de Cuenta</t>
  </si>
  <si>
    <t>Compra de Clips</t>
  </si>
  <si>
    <t>Pago de Condomio Mayo 2026</t>
  </si>
  <si>
    <t>Comsion Bancaria</t>
  </si>
  <si>
    <t>Pago de Servicio de Internet MINET</t>
  </si>
  <si>
    <t>Pago de Servicio Electrico (CORPOELEC)</t>
  </si>
  <si>
    <t>Café, Desinfectante, Hojas Blancas</t>
  </si>
  <si>
    <t xml:space="preserve">Credito directo para pago de diferencia correspondiente al mes de Abril y anticipo del 30% del mes de mayo </t>
  </si>
  <si>
    <t>Credito para compra Ponchos</t>
  </si>
  <si>
    <t>Diferencia en el pago del mes de Abril 2026</t>
  </si>
  <si>
    <t>Pago del 30% de anticipo del mes de Mayo 2026</t>
  </si>
  <si>
    <t>Credito Inmediato de diferencia para comprar 10 ponchos para el vertedero.</t>
  </si>
  <si>
    <t>Compra de 10 ponchos para trabajadores del vertedero</t>
  </si>
  <si>
    <t>Recarga del botellon de agua</t>
  </si>
  <si>
    <t>Credito directo para pago de Nomina</t>
  </si>
  <si>
    <t>Traspaso a Yohaly para pago de nomina</t>
  </si>
  <si>
    <t>Compra de 3 carpetas amarillas</t>
  </si>
  <si>
    <t>Credito Directo</t>
  </si>
  <si>
    <t>Pago Salario  a Recaudador (Pascacio Pino)</t>
  </si>
  <si>
    <t>Pago SENIAT (2690983539) 01-03-2026</t>
  </si>
  <si>
    <t>Pago SENIAT (2601690784) 01-04-2026</t>
  </si>
  <si>
    <t>Pago SENIAT (2691258123) 01-04-2026</t>
  </si>
  <si>
    <t>Credito Inmediato Nomina</t>
  </si>
  <si>
    <t xml:space="preserve">Comision Bancaria </t>
  </si>
  <si>
    <t>Pago de Servicio de Transporte y Encomiendas</t>
  </si>
  <si>
    <t>Mantenimiento de cuenta</t>
  </si>
  <si>
    <t>Emision de estado de cuenta</t>
  </si>
  <si>
    <t>Envio de mensajes</t>
  </si>
  <si>
    <t xml:space="preserve">                                                               INGRESOS Y EGRESOS (ECOVIDA)</t>
  </si>
  <si>
    <t>Euro (-)</t>
  </si>
  <si>
    <t>Bolivares (-)</t>
  </si>
  <si>
    <t>Euro (+)</t>
  </si>
  <si>
    <t>Bolivares (+)</t>
  </si>
  <si>
    <t>Gastos Varios: Desifectante, Cloro, Bolsas</t>
  </si>
  <si>
    <t>Gastos varios: Papel higienico, bolsas, azucar</t>
  </si>
  <si>
    <t>Botellon de Agua</t>
  </si>
  <si>
    <t>Pago de Condominio Junio 2026</t>
  </si>
  <si>
    <t>Suministro directo /Esobades</t>
  </si>
  <si>
    <t>Tranferencia</t>
  </si>
  <si>
    <t>Pago de Internet / Minet</t>
  </si>
  <si>
    <t>Pago de Electricidad/Corpoelec</t>
  </si>
  <si>
    <t>Pago de Gasoil/ Humberto Chalbaud</t>
  </si>
  <si>
    <t>Comision bancaria</t>
  </si>
  <si>
    <t>Compra de Punto de Venta</t>
  </si>
  <si>
    <t>Pago de Nomina (Personal Obrero)</t>
  </si>
  <si>
    <t>Liquidacion Comercio 002</t>
  </si>
  <si>
    <t>Liquidacion Comercio 001</t>
  </si>
  <si>
    <t>Cobro por procesamiento TDD Y TDC</t>
  </si>
  <si>
    <t>TOTAL</t>
  </si>
  <si>
    <t>Pago de Salario (Pascacio Pino) 15na 15/06</t>
  </si>
  <si>
    <t>Pago de Salario (Juan Carlos Rodriguez 15na 15/06</t>
  </si>
  <si>
    <t>Pago de 3 viajes de Granzon (Jean Carlos Valderrama)</t>
  </si>
  <si>
    <t>Pago de Salario  (Yohaly Sanchez) 15 na 15/06</t>
  </si>
  <si>
    <t>Compra de Papel tamaño carta y rollos para los puntos</t>
  </si>
  <si>
    <t>Pago de Maquinarias, correspondiente al mes de MAYO 2026</t>
  </si>
  <si>
    <t>Pago de Sistema 22161342</t>
  </si>
  <si>
    <t>Pago de Sistema Abono 22161561</t>
  </si>
  <si>
    <t>Pago de sistema CEMTECSOFT</t>
  </si>
  <si>
    <t>Pago  de Anticipo de Alquiler de maquinaria (Miguel Angel Cordero)</t>
  </si>
  <si>
    <t>Liquidacion a Comercio TDC</t>
  </si>
  <si>
    <t>Pago a Contadora (Yoneida Gutierrez)</t>
  </si>
  <si>
    <t>Compra de Carpetas, Almohadilla</t>
  </si>
  <si>
    <t>Compra de Separadores</t>
  </si>
  <si>
    <t>Pago de Proveedores (SERD CO)</t>
  </si>
  <si>
    <t>Liquidacion a Comercio TDD 87989844</t>
  </si>
  <si>
    <t>Liquidacion a Comercio TDD 87989845</t>
  </si>
  <si>
    <t>Pago de Proveedores (CONTRUCTORA CIUDAD DE ORO)</t>
  </si>
  <si>
    <t>Concepto</t>
  </si>
  <si>
    <t>Destinado</t>
  </si>
  <si>
    <t>Administrativo</t>
  </si>
  <si>
    <t>Mantenimiento</t>
  </si>
  <si>
    <t>Inversion de activos fijos</t>
  </si>
  <si>
    <t>Operativo</t>
  </si>
  <si>
    <t>Maquinaria</t>
  </si>
  <si>
    <t>Nomina</t>
  </si>
  <si>
    <t xml:space="preserve">Operativo </t>
  </si>
  <si>
    <t>Liquidacion de Comercio TDD 87989844/002/00003</t>
  </si>
  <si>
    <t>Liquidacion de Comercio TDC 87989844/002/00003</t>
  </si>
  <si>
    <t>Liquidacion a Comercio TDD 87989844/002/00002</t>
  </si>
  <si>
    <t>Pago de Gasoil/ Omar Escalona</t>
  </si>
  <si>
    <t>Entrada</t>
  </si>
  <si>
    <t>Esobades</t>
  </si>
  <si>
    <t>Vertedero</t>
  </si>
  <si>
    <t>Etiquetas de fila</t>
  </si>
  <si>
    <t>Total general</t>
  </si>
  <si>
    <t>Suma de Monto $ -</t>
  </si>
  <si>
    <t>Compra de Celular para Atencion al Cliente</t>
  </si>
  <si>
    <t>Compra de adaptador universal para celular</t>
  </si>
  <si>
    <t>Liquidacion de Comercio TDD 87989844/002/00004</t>
  </si>
  <si>
    <t>Liquidacion de Comercio TDC 87989844/002/00004</t>
  </si>
  <si>
    <t>Pago de Gasoil / Dixon Aro</t>
  </si>
  <si>
    <t>Cobro Venta POS</t>
  </si>
  <si>
    <t>Liquidacion a Comercio TDC 87989844/002/00001</t>
  </si>
  <si>
    <t>Pago de Recarga de Toner</t>
  </si>
  <si>
    <t>Liquidacion a Comercio TDD 87989844/002/00005</t>
  </si>
  <si>
    <t>Pago a Yohmy Santiago / Grua Payloader</t>
  </si>
  <si>
    <t>Transferido</t>
  </si>
  <si>
    <t>Liquidacion de Comercio TDD-87989844-002/00006</t>
  </si>
  <si>
    <t>Liquidacion a Comercio TDD- 87989844-002/00007</t>
  </si>
  <si>
    <t>Liquidacion a Comercio TDD- 87989844-002/00006</t>
  </si>
  <si>
    <t>28//06/2026</t>
  </si>
  <si>
    <t>Liquidacion a Comercio TDD- 87989844/002/00008</t>
  </si>
  <si>
    <t>Compra de botellon de agua</t>
  </si>
  <si>
    <t>Compra de  SIMCARD MOVISTAR</t>
  </si>
  <si>
    <t>Pago de Transporte y Encomienda</t>
  </si>
  <si>
    <t>Ingreso de la puerta del Vertedero (Transfiere Pascacio Pino)</t>
  </si>
  <si>
    <t>Liquidacion de Comercio TDC-87989844/002/00007</t>
  </si>
  <si>
    <t>Liquidacion de Comercio TDD-87989844/002/00009</t>
  </si>
  <si>
    <t>SENIAT 9249104853351</t>
  </si>
  <si>
    <t>SENIAT 2455179238949</t>
  </si>
  <si>
    <t>Pago de Maquinaria (Jean Martinez)</t>
  </si>
  <si>
    <t xml:space="preserve">Pago de diferencia en la nomina </t>
  </si>
  <si>
    <t>Nomina 30 de Junio 2026 1 (Yohaly Sanchez)</t>
  </si>
  <si>
    <t>Nomina 30 de Junio 2026 2 (Yohaly Sanchez)</t>
  </si>
  <si>
    <t>Emision Estado de Cuenta</t>
  </si>
  <si>
    <t>Envio de SMS</t>
  </si>
  <si>
    <t>Liquidacion a Comercio TDC 87989844/002/00002</t>
  </si>
  <si>
    <t>+</t>
  </si>
  <si>
    <t>Reparacion de Arranque/Jairo Pascuas</t>
  </si>
  <si>
    <t>Compra de Bombin / Jean Martinez</t>
  </si>
  <si>
    <t>Liquidacion a Comercio TDC 87989844/002/00005</t>
  </si>
  <si>
    <t>Liquidacion a Comercio TDC-87989844/002/00008</t>
  </si>
  <si>
    <t xml:space="preserve">Cobro por procesamiento de TDD Y TDC </t>
  </si>
  <si>
    <t>Liquidacion a Comercio TDC-87989844/002/00010</t>
  </si>
  <si>
    <t>Pago gasoil (Humberto Chalbaud)</t>
  </si>
  <si>
    <t>Liquidacion de Comercio TDC -87989844/002/00009</t>
  </si>
  <si>
    <t>Liquidacion de Comercio TDC -87989844/002/00011</t>
  </si>
  <si>
    <t xml:space="preserve">Pago de envio de factura del sistema Gar </t>
  </si>
  <si>
    <t>Liquidacion de Comercio TDD- 87989844/002/00012</t>
  </si>
  <si>
    <t>Liquidacion de Comercio TDD- 87989844/002/00010</t>
  </si>
  <si>
    <t>Abono de impresión de facturas (Forma libre)</t>
  </si>
  <si>
    <t>Compra de tablas, papel entre otros</t>
  </si>
  <si>
    <t>Pago de uniformes para censistas (10 franelas, 5 gorras)</t>
  </si>
  <si>
    <t>Liquidacion a Comercio TDD- 87989844/002/00013</t>
  </si>
  <si>
    <t>Liquidacion a Comercio TDC- 87989844/002/00011</t>
  </si>
  <si>
    <t>Liquidacion a Comercio TDD- 879899844/002/00012</t>
  </si>
  <si>
    <t>Liquidacion a Comercio TDD- 879899844/002/00014</t>
  </si>
  <si>
    <t>Liquidacion a Comercio TDD- 87989844/002/00015</t>
  </si>
  <si>
    <t>Pago de Contructora Ciudad de Oro (10 viajes al vertedero obras)</t>
  </si>
  <si>
    <t>Liquidacion de impresión de factura en forma libre</t>
  </si>
  <si>
    <t>Pago de Puerta Vertedero (Pascacio Pino) Pago Movil</t>
  </si>
  <si>
    <t>Liquidacion a Comercio TDD- 87989844/002/00016</t>
  </si>
  <si>
    <t>Liquidacion a Comercio TDC- 87989844/002/00014</t>
  </si>
  <si>
    <t>Credito directo para pago de diferencia correspondiente al mes de Abril y anticipo del 30% del mes de mayo (Maquinaria)</t>
  </si>
  <si>
    <t>Diferencia en el pago del mes de Abril 2026 (Maquinaria)</t>
  </si>
  <si>
    <t>Pago del 30% de anticipo del mes de Mayo 2026 (Maquinaria)</t>
  </si>
  <si>
    <t>FECHA</t>
  </si>
  <si>
    <t>CONCEPTO</t>
  </si>
  <si>
    <t>MONTO</t>
  </si>
  <si>
    <t xml:space="preserve">               PAGOS FORANEOS</t>
  </si>
  <si>
    <t>ENTES</t>
  </si>
  <si>
    <t>SAMAT</t>
  </si>
  <si>
    <t>GASOIL A DIXON</t>
  </si>
  <si>
    <t xml:space="preserve">GASOIL A JUAN </t>
  </si>
  <si>
    <t>ABOGADA</t>
  </si>
  <si>
    <t>IMPUESTOS DE ECOVIDA</t>
  </si>
  <si>
    <t>RECARGA DE TONER</t>
  </si>
  <si>
    <t>MATERIALES DE OFICINA</t>
  </si>
  <si>
    <t>PAGO DE ACTAS</t>
  </si>
  <si>
    <t>COMBOS COMIDA</t>
  </si>
  <si>
    <t>abr</t>
  </si>
  <si>
    <t>may</t>
  </si>
  <si>
    <t>jun</t>
  </si>
  <si>
    <t>Pago de FAOV (Transferencia a Yoneida Gutierrez)</t>
  </si>
  <si>
    <t>Liquidacion a Comercio TDC- 87989844/002/00015</t>
  </si>
  <si>
    <t>Liquidacion a Comercio TDD- 87989844/002/00017</t>
  </si>
  <si>
    <t>Pago de Constructora Ciudad de oro (10 viajes al vertedero)</t>
  </si>
  <si>
    <t>Compra de Café, servilletas, té entre otros</t>
  </si>
  <si>
    <t>Jabon liquido antibacterial</t>
  </si>
  <si>
    <t>Papeleria (carpetas, hojas, fundas entre otras)</t>
  </si>
  <si>
    <t>Pago de los talonarios para el censo</t>
  </si>
  <si>
    <t>Pago de Condominio Julio 2026</t>
  </si>
  <si>
    <t>Liquidacion a Comercio TDD- 87989844/002/00018</t>
  </si>
  <si>
    <t>Liquidacion a Comercio TDD- 87989844/002/00019</t>
  </si>
  <si>
    <t>SENIAT Pagos Web</t>
  </si>
  <si>
    <t>Pago de 500 lts de Gasoil (Humberto Chalbaud)</t>
  </si>
  <si>
    <t>Cobro venta POS</t>
  </si>
  <si>
    <t>Compra de Caja de efectivo. Fundas para carnet, y colgantes para los carnet</t>
  </si>
  <si>
    <t>Liquidacion a Comercio TDD- 87989844/002/00020</t>
  </si>
  <si>
    <t>Liquidacion a Comercio TDD- 87989844/002/00021</t>
  </si>
  <si>
    <t>Liquidacion a Comercio TDD- 87989844/002/00022</t>
  </si>
  <si>
    <t>Pago de electricidad (CORPOELEC)</t>
  </si>
  <si>
    <t>Pago de Internet (MINET)</t>
  </si>
  <si>
    <t xml:space="preserve">Compra de 2 remas de papel carta y cartulinas </t>
  </si>
  <si>
    <t>Compra de recarga de 2 botellones de agua</t>
  </si>
  <si>
    <t>Liquidacion a Comercio TDD- 87989844/002/00024</t>
  </si>
  <si>
    <t>Liquidacion a Comercio TDD- 87989844/002/00025</t>
  </si>
  <si>
    <t>Liquidacion a Comercio TDD- 87989844/002/00023</t>
  </si>
  <si>
    <t>Compra de Impresora HP M141W y Adapatador Wifi</t>
  </si>
  <si>
    <t>Traspaso de Nomina 1ra Parte (Yohaly Sanchez)</t>
  </si>
  <si>
    <t>Traspaso de Nomina 2da Parte (Yohaly Sanchez)</t>
  </si>
  <si>
    <t>Pago de 10 talonarios termicos para el censo</t>
  </si>
  <si>
    <t>Pago al Sr Jesus Ludert por el pago de la computadora para la Analista de Cobranza</t>
  </si>
  <si>
    <t>Pago al Sr Ludert duplicado</t>
  </si>
  <si>
    <t>Reintegro del Duplicado que se hizo al Sr Ludert</t>
  </si>
  <si>
    <t>Compra de papeleria para escritorio de la naalista de cobranza ( Marcadores, engrapadora etc)</t>
  </si>
  <si>
    <t xml:space="preserve">Pago de recarga de Toner </t>
  </si>
  <si>
    <t>Liquidacion a Comercio TDD- 87989844/002/00027</t>
  </si>
  <si>
    <t>Liquidacion a Comercio TDD- 87989844/002/00026</t>
  </si>
  <si>
    <t>Ingreso por pago movil (puerta del vertedero) Pascacio Pino</t>
  </si>
  <si>
    <t>Pago de Proveedor Puerta vertedero (Constructora Ciudad de oro)</t>
  </si>
  <si>
    <t>Compra de Gasoil (Humberto Chalbaud)</t>
  </si>
  <si>
    <t>Anticipo de 50% de maquinaria Payloader y Jumbo (Miguel Angel Cordero)</t>
  </si>
  <si>
    <t>Liquidacion a Comercio TDD- 87989844/002/00028</t>
  </si>
  <si>
    <t>Liquidacion a Comercio TDD- 87989844/002/00002</t>
  </si>
  <si>
    <t>Liquidacion a Comercio TDD- 87989844/002/00029</t>
  </si>
  <si>
    <t>Liquidacion a Comercio TDD- 87989844/002/00030</t>
  </si>
  <si>
    <t>Liquidacion a Comercio TDD- 87989844/001/00003</t>
  </si>
  <si>
    <t>Liquidacion a Comercio TDD- 87989844/002/00031</t>
  </si>
  <si>
    <t>Compra de grapadora, grpas y remas de hojas carta</t>
  </si>
  <si>
    <t>Compra de Tapabocas y antibacterial</t>
  </si>
  <si>
    <t>Pago de 2 baterias para Payloder</t>
  </si>
  <si>
    <t>Pago a Luis Alfredo Martinez (Anticipo del 50% de maquinaria D5)</t>
  </si>
  <si>
    <t>Pago de la mensualidad del Sistema de facturacion</t>
  </si>
  <si>
    <t>Liquidacion a Comercio TDD- 87989844/002/00032</t>
  </si>
  <si>
    <t>Liquidacion a Comercio TDD- 87989844/001/00004</t>
  </si>
  <si>
    <t>Pago de Proveedor SERDECO</t>
  </si>
  <si>
    <t>Pago de mano de obra mecanica (Dixon Aro)</t>
  </si>
  <si>
    <t>SENIAT</t>
  </si>
  <si>
    <t>Impuestos</t>
  </si>
  <si>
    <t>Seniat</t>
  </si>
  <si>
    <t>Saren</t>
  </si>
  <si>
    <t>Servicios</t>
  </si>
  <si>
    <t>Suministros Aro</t>
  </si>
  <si>
    <t>FAOV</t>
  </si>
  <si>
    <t>Devolucion</t>
  </si>
  <si>
    <t>Compra de papeleria para escritorio de la analista de cobranza ( Marcadores, engrapadora etc)</t>
  </si>
  <si>
    <t>Liquidacion a Comercio TDD- 87989844/002/00033</t>
  </si>
  <si>
    <t>Liquidacion a Comercio TDD- 87989844/002/00005</t>
  </si>
  <si>
    <t>COBRO VENTA POS</t>
  </si>
  <si>
    <t>Liquidacion a Comercio TDD- 87989844/001/00005</t>
  </si>
  <si>
    <t>Liquidacion a Comercio TDD- 87989844/001/00006</t>
  </si>
  <si>
    <t>Pago de 3 dias de Payloader (Miguel Angel Cordero)</t>
  </si>
  <si>
    <t>Liquidacion a Comercio TDD- 87989844/002/00035</t>
  </si>
  <si>
    <t>Liquidacion a Comercio TDD- 87989844/002/00036</t>
  </si>
  <si>
    <t>Liquidacion a Comercio TDD- 87989844/002/00034</t>
  </si>
  <si>
    <t>Liquidacion a Comercio TDD- 87989844/002/00037</t>
  </si>
  <si>
    <t>Deposito de efectivo</t>
  </si>
  <si>
    <t>Efectivo</t>
  </si>
  <si>
    <t>Liquidacion a Comercio TDD- 87989844/002/00038</t>
  </si>
  <si>
    <t>Liquidacion a Comercio TDD- 87989844/001/00007</t>
  </si>
  <si>
    <t>Compra de Papel higienico, vasos, papel de punto</t>
  </si>
  <si>
    <t>Pago de Maquinaria D5 (Luis Alfredo Martinez)</t>
  </si>
  <si>
    <t>Liquidacion a Comercio TDD- 87989844/002/00039</t>
  </si>
  <si>
    <t>Liquidacion a Comercio TDD- 87989844/001/00008</t>
  </si>
  <si>
    <t>Compra de Gasoil (Humberto Chalbaud) 500lts</t>
  </si>
  <si>
    <t>Liquidacion de Comercio TDD - 87989844/002/00040</t>
  </si>
  <si>
    <t>Liquidacion de Comercio TDC - 87989844/002/00038</t>
  </si>
  <si>
    <t>Liquidacion de Comercio TDD- 87989844/001/00009</t>
  </si>
  <si>
    <t>Liquidacion de Comercio TDD - 87989844/002/00039</t>
  </si>
  <si>
    <t>Liquidacion de Comercio TDD - 87989844/002/00041</t>
  </si>
  <si>
    <t>Liquidacion de Comercio TDD - 87989844/001/00010</t>
  </si>
  <si>
    <t>Traspaso para pago de nomina 1/2</t>
  </si>
  <si>
    <t>31/082026</t>
  </si>
  <si>
    <t>Traspaso para pago de nomina 2/2</t>
  </si>
  <si>
    <t xml:space="preserve">Mantemiento de Cuenta </t>
  </si>
  <si>
    <t>Emision de Estado de Cuenta</t>
  </si>
  <si>
    <t xml:space="preserve">TOTAL </t>
  </si>
  <si>
    <t>Liquidacion a Comercion TDD- 87989844/002/00042</t>
  </si>
  <si>
    <t>Liquidacion a Comercion TDD- 87989844/002/00043</t>
  </si>
  <si>
    <t>Liquidacion a Comercion TDD- 87989844/001/00011</t>
  </si>
  <si>
    <t>Liquidacion a Comercion TDD- 87989844/002/00040</t>
  </si>
  <si>
    <t>COBRO POR PROCESAMIENTO DE TDD Y TDC</t>
  </si>
  <si>
    <t>Liquidacion a Comercion TDD- 87989844/002/00041</t>
  </si>
  <si>
    <t>Liquidacion a Comercion TDD- 87989844/002/00044</t>
  </si>
  <si>
    <t>Recarga movistar (Corporativo)</t>
  </si>
  <si>
    <t>Transferncia</t>
  </si>
  <si>
    <t>Pago a Humberto Chalbaud (500 lts Gasoil)</t>
  </si>
  <si>
    <t>Pago de Condominio</t>
  </si>
  <si>
    <t>Liquidacion a Comercion TDD- 87989844/002/00045</t>
  </si>
  <si>
    <t>Liquidacion a Comercion TDD- 87989844/001/00012</t>
  </si>
  <si>
    <t>Ingreso de SERDECO</t>
  </si>
  <si>
    <t>Pago de Repuesto para Payloader (Cesar Rodriguez)</t>
  </si>
  <si>
    <t>Pago de maquinaria D5 Liquidacion (Luis Martinez)</t>
  </si>
  <si>
    <t>Pago de maquinaria Payloader (Miguel Angel Cordero)</t>
  </si>
  <si>
    <t>Pago de maquinaria Payloader (Jean Martinez)</t>
  </si>
  <si>
    <t>Liquidacion a Comercion TDD- 87989844/002/00046</t>
  </si>
  <si>
    <t>Liquidacion a Comercion TDD- 87989844/001/00013</t>
  </si>
  <si>
    <t>Pago de Liquidacion del Trabajor Jonnsmid Arana</t>
  </si>
  <si>
    <t>Pago a Motorizado por encomienda y transporte</t>
  </si>
  <si>
    <t>Impresiones por tramites bancarios (Compugina)</t>
  </si>
  <si>
    <t>Compra de papeleria (Hojas blancas, pega, chiches, entre otros)</t>
  </si>
  <si>
    <t>Compra de papeleria (Tinta, separadores entre otros)</t>
  </si>
  <si>
    <t>Liquidacion a Comercion TDD- 87989844/002/00047</t>
  </si>
  <si>
    <t>Compra de botellones de agua</t>
  </si>
  <si>
    <t>Compra de 500lts de Gasoil (Humberto Chalbaud)</t>
  </si>
  <si>
    <t>Liquidacion a Comercion TDD- 87989844/002/00049</t>
  </si>
  <si>
    <t>Liquidacion a Comercion TDD- 87989844/001/00014</t>
  </si>
  <si>
    <t>Liquidacion a Comercion TDD- 87989844/002/00048</t>
  </si>
  <si>
    <t>Compra de chocolates para los agentes del Banco de Vzla</t>
  </si>
  <si>
    <t>Almuerzo de Yohaly Sanchez</t>
  </si>
  <si>
    <t>Pago de El Pollo Dorado</t>
  </si>
  <si>
    <t>Pago de Farmatodo</t>
  </si>
  <si>
    <t>Liquidacion a Comercion TDD- 87989844/002/00050</t>
  </si>
  <si>
    <t>Liquidacion a Comercion TDD- 87989844/001/00015</t>
  </si>
  <si>
    <t>Liquidacion a Comercion TDD- 87989844/002/00052</t>
  </si>
  <si>
    <t>Liquidacion a Comercion TDD- 87989844/002/00051</t>
  </si>
  <si>
    <t>Liquidacion a Comercion TDD- 87989844/002/00053</t>
  </si>
  <si>
    <t>Pago de Comision de Planilla (Genesis Bastidas)</t>
  </si>
  <si>
    <t>Pago de Constructora Ciudad de Oro (10 viajes al vertedero)</t>
  </si>
  <si>
    <t>Pago de Diferencia de Constructora Ciudad de Oro (10 viajs al vertedero)</t>
  </si>
  <si>
    <t>Traspaso a cuenta de Yohaly Sanchez para pago de comisiones por planilla llena</t>
  </si>
  <si>
    <t>Pago de Constructora Villa Toscana</t>
  </si>
  <si>
    <t>Liquidacion a Comercion TDD- 87989844/002/00054</t>
  </si>
  <si>
    <t>Liquidacion a Comercion TDD- 87989844/002/00016</t>
  </si>
  <si>
    <t xml:space="preserve">Pago de Serdeco </t>
  </si>
  <si>
    <t>Compra de Regulador y Mini UPS</t>
  </si>
  <si>
    <t>Compra de 1000 lts de Gasoil (Humberto Chalbaud)</t>
  </si>
  <si>
    <t>Compra de Chalecos para uniformidad (Confecciones Divino Niño)</t>
  </si>
  <si>
    <t>Compra de Carnet PVC para el Sr Pascacio y Johan Hernandez</t>
  </si>
  <si>
    <t xml:space="preserve"> </t>
  </si>
  <si>
    <t>Pago de Amanecer Café</t>
  </si>
  <si>
    <t>Liquidacion a Comercion TDD- 87989844/002/00055</t>
  </si>
  <si>
    <t>Liquidacion a Comercion TDD- 87989844/002/00017</t>
  </si>
  <si>
    <t>Pago de Distriboca</t>
  </si>
  <si>
    <t xml:space="preserve">Pago Operadora el Dorado C.C </t>
  </si>
  <si>
    <t>Devolucion de Retenciones ISLR</t>
  </si>
  <si>
    <t>Compra de Pintura (ESOBADES)</t>
  </si>
  <si>
    <t>Liquidacion a Comercion TDD- 87989844/002/00018</t>
  </si>
  <si>
    <t>Liquidacion a Comercion TDD- 87989844/002/00056</t>
  </si>
  <si>
    <t>Pago de Servicio Electrico  CORPOELEC</t>
  </si>
  <si>
    <t>Limpia Vidrios y paño limpia vidrios</t>
  </si>
  <si>
    <t>Pago de mensualidad por servicio de VPS en Aws y correos masivos</t>
  </si>
  <si>
    <t>Impresiones a color del Sr Juan Carlos Rodriguez</t>
  </si>
  <si>
    <t xml:space="preserve">Pago de Supermercado Don Samuel </t>
  </si>
  <si>
    <t>Liquidacion a Comercion TDD- 87989844/002/00057</t>
  </si>
  <si>
    <t>Liquidacion a Comercion TDD- 87989844/002/00019</t>
  </si>
  <si>
    <t>Repuestos para Payloader</t>
  </si>
  <si>
    <t>Traspaso de la 1ra parte de la Nomina (Yohaly Sanchez)</t>
  </si>
  <si>
    <t>Traspaso de la 2da parte de la Nomina (Yohaly Sanchez)</t>
  </si>
  <si>
    <t>Pago de Induccion de 1 hora del Sistema de Facturacion</t>
  </si>
  <si>
    <t>Liquidacion a Comercion TDD- 87989844/002/00058</t>
  </si>
  <si>
    <t>Compra de Desmalezadora para el vertedero (Maquirepuestos Barinas, c.a)</t>
  </si>
  <si>
    <t>Compra de Horno microondas para la oficina (Comercializadora 2014, c.a)</t>
  </si>
  <si>
    <t>Liquidacion a Comercion TDD- 87989844/002/00059</t>
  </si>
  <si>
    <t>Liquidacion a Comercion TDD- 87989844/002/00060</t>
  </si>
  <si>
    <t>Compra de Desinfectante, Café, azucar, Te</t>
  </si>
  <si>
    <t>Abono de Maquinaria D5 (Luis Alfredo Martinez)</t>
  </si>
  <si>
    <t>Abono de maquinaria Payloader (Miguel Angel Cordero)</t>
  </si>
  <si>
    <t>Diferencia de Salario de Fabian Urdaneta (Maquinista)</t>
  </si>
  <si>
    <t>Deposito de efectivo proveniente de la entrada de camiones en la  puerta del vertedero</t>
  </si>
  <si>
    <t>Deposito</t>
  </si>
  <si>
    <t>Transferencia a Juan Carlos Rodriguez por pago de Manguera para maquinaria</t>
  </si>
  <si>
    <t>Pepeleria</t>
  </si>
  <si>
    <t>Activos fijos</t>
  </si>
  <si>
    <t>ISLR</t>
  </si>
  <si>
    <t>Liquidacion de Baterias para Payloader (Luis Alarcon)</t>
  </si>
  <si>
    <t>Pago de mano de obra de arranque de Payloader (Jose Valerio Nuñez)</t>
  </si>
  <si>
    <t>Liquidacion a Comercion TDD- 87989844/001/00020</t>
  </si>
  <si>
    <t>Liquidacion a Comercion TDD- 87989844/002/00061</t>
  </si>
  <si>
    <t>Pago de 1000lts de GASOIL (Humberto Chalbaud)</t>
  </si>
  <si>
    <t>Pago a Movistar (Coorporativo de la Oficina)</t>
  </si>
  <si>
    <t>Pago de Farmacias Nuevo Siglo c.a</t>
  </si>
  <si>
    <t>Devolucion de Retencion ISLR (Gar Soluciones c.a)</t>
  </si>
  <si>
    <t>BANCAMIGA</t>
  </si>
  <si>
    <t>Liquidacion a Comercion TDD- 87989844/002/00062</t>
  </si>
  <si>
    <t>Liquidacion a Comercion TDD- 87989844/001/00021</t>
  </si>
  <si>
    <t>Pago de Maria Zuleima Contreras Contreras</t>
  </si>
  <si>
    <t>Pago de Club Italo Venezolano</t>
  </si>
  <si>
    <t>Pago de Manguera para Maquinaria ( Joshua Perez)</t>
  </si>
  <si>
    <t>Sello Automatico de RECIBIDO con fecha y hora</t>
  </si>
  <si>
    <t>Compra de Papeleria (Clips., Resaltador, Archivador)</t>
  </si>
  <si>
    <t>Pago de Lianep Andreina Arcilla Delgado 17307557</t>
  </si>
  <si>
    <t>Pago de Lianep Andreina Arcilla Delgado 18237110</t>
  </si>
  <si>
    <t>Pago de Farmacia Trinidad Don Samuel, c.a 85722285</t>
  </si>
  <si>
    <t>Pago de Maygualida Rondon 02903659</t>
  </si>
  <si>
    <t>Liquidacion a Comercion TDD- 87989844/002/00063</t>
  </si>
  <si>
    <t>Compra de Botellones de agua, papel higienico e hidratacion para el equipo</t>
  </si>
  <si>
    <t>Pago de mangueras para maquinaria 1161769984</t>
  </si>
  <si>
    <t>Compra de Chalecos para uniformidad (Confecciones Divino Niño) 30508970</t>
  </si>
  <si>
    <t>Compra de 1000 lts de Gasoil (Humberto Chalbaud)30508157</t>
  </si>
  <si>
    <t>Liquidacion a Comercion TDD- 87989844/002/00064</t>
  </si>
  <si>
    <t>Pago de Consorcio Futuragro, c.a</t>
  </si>
  <si>
    <t>Pago de Corporacion Ensyla- c.a</t>
  </si>
  <si>
    <t>Pago de deudas pendientes con el Sr Juan Rodriguez</t>
  </si>
  <si>
    <t>Pago de Corporacion Telemic, c.a</t>
  </si>
  <si>
    <t>Liquidacion a Comercion TDD- 87989844/001/00022</t>
  </si>
  <si>
    <t>Liquidacion a Comercion TDD- 87989844/002/00065</t>
  </si>
  <si>
    <t>Liquidacion a Comercion TDD- 87989844/002/00066</t>
  </si>
  <si>
    <t>Liquidacion a Comercion TDD- 87989844/002/00068</t>
  </si>
  <si>
    <t>Liquidacion a Comercion TDD- 87989844/002/00067</t>
  </si>
  <si>
    <t>Compra de detalle para asesor bancario</t>
  </si>
  <si>
    <t>Pago del 50% de  Instalacion de Inversor (Helios Tech)32525605</t>
  </si>
  <si>
    <t>Pago de liquidacion de maquinaria D5 JULIO 2026 (Luis Alfredo Martinez)</t>
  </si>
  <si>
    <t>Pago de 800 lts de Gasoil (Humberto Chalbaud)32528295</t>
  </si>
  <si>
    <t>Liquidacion a Comercion TDD- 87989844/002/00069</t>
  </si>
  <si>
    <t>Pago de mensualidad de sistema de facturacion (Ceo Software) 1002258821</t>
  </si>
  <si>
    <t>Pago a Juan Carlos Rodriguez correspondiente a pago de repuestos para maquinaria</t>
  </si>
  <si>
    <t>Pago de 50 litros de Gasoil 32546310 (Humberto Chalbaud)</t>
  </si>
  <si>
    <t>Pago a Juan Carlos Rodriguez correspondiente a pago para reparacion de caucho para maquinaria</t>
  </si>
  <si>
    <t>Salida</t>
  </si>
  <si>
    <t>Devolucion de retencion</t>
  </si>
  <si>
    <t>Liquidacion a Comercion TDD- 87989844/002/00070</t>
  </si>
  <si>
    <t>Liquidacion a Comercion TDD- 87989844/002/00071</t>
  </si>
  <si>
    <t>Ingreso</t>
  </si>
  <si>
    <t>Egreso</t>
  </si>
  <si>
    <t>Repuestos para Maquinaria</t>
  </si>
  <si>
    <t>Alquiler de Maquinaria</t>
  </si>
  <si>
    <t>Mantenimento</t>
  </si>
  <si>
    <t>Alquiler de maquinaria</t>
  </si>
  <si>
    <t>Gasoil para Maquinaria</t>
  </si>
  <si>
    <t>Mecanico para maquinaria</t>
  </si>
  <si>
    <t>Pago de mensualidad por servicio de VPS en Aws y correos masivos  (GAR Soluciones, c.a)30920671</t>
  </si>
  <si>
    <t>Compra de Cajetin, cerradura etc (Global Center) ESOBADES</t>
  </si>
  <si>
    <t>Compra de Refrigerio e Hidratacion (Gran Catador) ESOBADES</t>
  </si>
  <si>
    <t>Compra de materiales de construccion (Mat. Y Dec. MG) ESOBADES</t>
  </si>
  <si>
    <t>Compra de materiales de construccion (Ferrellano) ESOBADES</t>
  </si>
  <si>
    <t>Compra de Todo de Alba ESOBADES</t>
  </si>
  <si>
    <t>Compra de Esponja y Segueta (ESOBADES)</t>
  </si>
  <si>
    <t>Compra de Cemento (GLOBAL CENTER)</t>
  </si>
  <si>
    <t>Liquidacion a Comercion TDD- 87989844/002/00072</t>
  </si>
  <si>
    <t>Pico de corte propano, llave ajustable ESOBADES</t>
  </si>
  <si>
    <t>Bujias para guadaña ESOBADES</t>
  </si>
  <si>
    <t>Liquidacion a Comercion TDD- 87989844/002/00073</t>
  </si>
  <si>
    <t>Compra de clavos ESOBADES</t>
  </si>
  <si>
    <t>Compra de pinturas (Mangocenter) ESOBADES</t>
  </si>
  <si>
    <t>Mantenimento de Cuenta</t>
  </si>
  <si>
    <t>Liquidacion a Comercion TDD- 87989844/002/00074</t>
  </si>
  <si>
    <t>Liquidacion a Comercion TDD- 87989844/002/00075</t>
  </si>
  <si>
    <t>Pago de Manguera para Maquinaria ( Joshua Perez)1157457990</t>
  </si>
  <si>
    <t>Repuestos para Payloader (Servicios y repuestos Pereira, c.a) 31113168</t>
  </si>
  <si>
    <t>Compra de taladro, bolsas plasticas (Ferreteria El llano, c.a) ESOBADES</t>
  </si>
  <si>
    <t>Pago a Motorizado por encomienda y transporte (Jose Marcial Ballesteros) 33384642</t>
  </si>
  <si>
    <t>Pago para elaboracion de empaque para elo carter de maquinaria (Telles Empacaduras) 33386362</t>
  </si>
  <si>
    <t>Pago a cauchera por reparacion de caucho de maquinaria (Jonny Garcia) 33387372</t>
  </si>
  <si>
    <t>Traspaso de Nomina 31/08 1/2   (Yohaly Sanchez) 33388002</t>
  </si>
  <si>
    <t>Traspaso de Nomina 31/08 2/2   (Yohaly Sanchez) 33388354</t>
  </si>
  <si>
    <t>Compra de Bornes-Silicon (Tornillanos Barinas, c.a) 33440333</t>
  </si>
  <si>
    <t>Pago a Humberto Chalbaud (500 lts Gasoil) 28862053</t>
  </si>
  <si>
    <t>Pago de Condominio 28863193</t>
  </si>
  <si>
    <t>Ingreso de SERDECO 23731929</t>
  </si>
  <si>
    <t>Pago de Repuesto para Payloader (Cesar Rodriguez) 29027130</t>
  </si>
  <si>
    <t>Pago de maquinaria D5 Liquidacion (Luis Martinez) 29032699</t>
  </si>
  <si>
    <t>Pago de maquinaria Payloader (Miguel Angel Cordero) 29033643</t>
  </si>
  <si>
    <t>Pago de maquinaria Payloader (Jean Martinez) 29041176</t>
  </si>
  <si>
    <t>Pago de Liquidacion del Trabajor Jonnsmid Arana 29165932</t>
  </si>
  <si>
    <t>Pago a Motorizado por encomienda y transporte (Jose Marcial Ballesteros) 29212073</t>
  </si>
  <si>
    <t>Impresiones por tramites bancarios (Compugina) 026581</t>
  </si>
  <si>
    <t>Compra de 500lts de Gasoil (Humberto Chalbaud) 29456541</t>
  </si>
  <si>
    <t>Almuerzo de Yohaly Sanchez 022422</t>
  </si>
  <si>
    <t>Pago de El Pollo Dorado 79652869</t>
  </si>
  <si>
    <t>Pago de Farmatodo 0313468</t>
  </si>
  <si>
    <t>Pago de Comision de Planilla (Genesis Bastidas) 30249773</t>
  </si>
  <si>
    <t>Pago de Constructora Ciudad de Oro (10 viajes al vertedero) 16853821</t>
  </si>
  <si>
    <t>Pago de Diferencia de Constructora Ciudad de Oro (10 viajs al vertedero) 16854210</t>
  </si>
  <si>
    <t xml:space="preserve">Traspaso a cuenta de Yohaly Sanchez para pago de comisiones por planilla llena </t>
  </si>
  <si>
    <t>Pago de Constructora Villa Toscana 80801090</t>
  </si>
  <si>
    <t>Pago de Serdeco 23806693</t>
  </si>
  <si>
    <t xml:space="preserve">Compra de Regulador y Mini UPS </t>
  </si>
  <si>
    <t>Compra de Carnet PVC para el Sr Pascacio y Johan Hernandez 1131005166</t>
  </si>
  <si>
    <t>Pago de Amanecer Café 3608228</t>
  </si>
  <si>
    <t>Pago de Distriboca 81906289</t>
  </si>
  <si>
    <t>Pago Operadora el Dorado C.C  81978468</t>
  </si>
  <si>
    <t>Devolucion de Retenciones ISLR  30745869</t>
  </si>
  <si>
    <t>Compra de Pintura 30747428 ESOBADES</t>
  </si>
  <si>
    <t>Pago de Serdeco 23844096</t>
  </si>
  <si>
    <t>Liquidacio de Baterias para Payloader (Luis Alarcon) 30919266</t>
  </si>
  <si>
    <t>Impresiones a color del Sr Juan Carlos Rodriguez 30940052</t>
  </si>
  <si>
    <t>Pago de Supermercado Don Samuel 1137082065</t>
  </si>
  <si>
    <t>Traspaso de la 1ra parte de la Nomina (Yohaly Sanchez) 31115279</t>
  </si>
  <si>
    <t>Traspaso de la 2da parte de la Nomina (Yohaly Sanchez) 31115985</t>
  </si>
  <si>
    <t>Pago de Induccion de 1 hora del Sistema de Facturacion 1140780390</t>
  </si>
  <si>
    <t>Pago de mano de obra de arranque de Payloader (Jose Valerio Nuñez) 31421246</t>
  </si>
  <si>
    <t>Abono de Maquinaria D5 (Luis Alfredo Martinez) 31422266</t>
  </si>
  <si>
    <t>Abono de maquinaria Payloader (Miguel Angel Cordero) 31423170</t>
  </si>
  <si>
    <t>Diferencia de Salario de Fabian Urdaneta (Maquinista) 31424268</t>
  </si>
  <si>
    <t>Deposito de efectivo proveniente de la entrada de camiones en la  puerta del vertedero 6010076489</t>
  </si>
  <si>
    <t>Transferencia a Juan Carlos Rodriguez por pago de Manguera para maquinaria 31492406</t>
  </si>
  <si>
    <t>Pago de Serdeco 23909618</t>
  </si>
  <si>
    <t>Pago de 1000lts de GASOIL (Humberto Chalbaud) 31633200</t>
  </si>
  <si>
    <t>SENIAT Pagos Web 4964957773743</t>
  </si>
  <si>
    <t>SENIAT Pagos Web 7713681123050</t>
  </si>
  <si>
    <t>SENIAT Pagos Web 1745994378944</t>
  </si>
  <si>
    <t>Pago a Movistar (Coorporativo de la Oficina) 3526868822</t>
  </si>
  <si>
    <t>Pago de Farmacias Nuevo Siglo c.a 1154505019</t>
  </si>
  <si>
    <t>Devolucion de Retencion ISLR (Gar Soluciones c.a)  37858952</t>
  </si>
  <si>
    <t>Pago de Maria Zuleima Contreras Contreras 59963227</t>
  </si>
  <si>
    <t>Pago de Club Italo Venezolano 85414554</t>
  </si>
  <si>
    <t>Pago de Consorcio Futuragro, c.a 38401618</t>
  </si>
  <si>
    <t>Pago de Corporacion Ensyla- c.a 38401760</t>
  </si>
  <si>
    <t>Pago de deudas pendientes con el Sr Juan Rodriguez 32154180</t>
  </si>
  <si>
    <t>Pago de Corporacion Telemic, c.a 4163594</t>
  </si>
  <si>
    <t>Pago de liquidacion de maquinaria D5 JULIO 2026 (Luis Alfredo Martinez) 32526197</t>
  </si>
  <si>
    <t>Pago de Serdeco 23974443</t>
  </si>
  <si>
    <t>Pago a Juan Carlos Rodriguez correspondiente a pago de repuestos para maquinaria 32542289</t>
  </si>
  <si>
    <t>Pago de 50 litros de Gasoil 32546310 (Humberto Chalbaud) 32546310</t>
  </si>
  <si>
    <t>Pago a Juan Carlos Rodriguez correspondiente a pago para reparacion de caucho para maquinaria 32546388</t>
  </si>
  <si>
    <t>Pago de Grupo Prime Shoes, c.a 06424784</t>
  </si>
  <si>
    <t>Abono de alquiler de maquinaria Payloader (Jean Martinez) 32555776</t>
  </si>
  <si>
    <t>Pago de manguera para maquinaria (Luis Enrique Medina)32575343</t>
  </si>
  <si>
    <t>Pago de viaje de arena (Esobades) 32582492</t>
  </si>
  <si>
    <t>Pago de Ciudad Catador 07484642</t>
  </si>
  <si>
    <t>Pago de CC CIMA (Comité Paritario de Gest Admin.) 00519179</t>
  </si>
  <si>
    <t>Honorarios de Cotabilidad (Yoneida Guitierrez) 32753395</t>
  </si>
  <si>
    <t>Traspaso a Jesus Ludert para gastos de Construccion en ESOBADES 32800896</t>
  </si>
  <si>
    <t>Pago a Yoneida Gutierrez por realizacion de certificacion de ingresos  32801489</t>
  </si>
  <si>
    <t>Compra de Cabezal 430/5200 28mm ESOBADES (Ferreteria Los Granje) ESOBADES</t>
  </si>
  <si>
    <t xml:space="preserve">Compra de pintura esmalte verde Inversiones Alto Color (ESOBADES) </t>
  </si>
  <si>
    <t>Liquidacion a Comercion TDD- 87989844/002/00076</t>
  </si>
  <si>
    <t>Pago de Serdeco 24071505</t>
  </si>
  <si>
    <t>Compra de gasolibna para camion operativo de ESOBADES 33611678</t>
  </si>
  <si>
    <t>Liquidacion de maquinaria Payloader (33686421)</t>
  </si>
  <si>
    <t>Deuda con Vicni 336687051 ESOBADES</t>
  </si>
  <si>
    <t>Liquidacion a Comercion TDD- 87989844/002/00077</t>
  </si>
  <si>
    <t>Traspaso a Eudes Garcia para pago de Herrero ESOBADES</t>
  </si>
  <si>
    <t>Compra de crucetas para Payloader (Repuestos Peter) 33928236</t>
  </si>
  <si>
    <t>Compra de 2 botellones de agua (Bodegon e inversiones La Dinastia)</t>
  </si>
  <si>
    <t>Compra de 1 botellones de agua (Bodegon e inversiones La Dinastia)</t>
  </si>
  <si>
    <t>Liquidacion a Comercion TDD- 87989844/002/00078</t>
  </si>
  <si>
    <t>Pago de De Ponte Sousa Tony Bernardo 66701522</t>
  </si>
  <si>
    <t>Compra de Cruzetas y mano de obra de Payloader 34064354</t>
  </si>
  <si>
    <t>Pago correspondiente al Proyecto saque 34065450</t>
  </si>
  <si>
    <t>Compra de hielo, agua para obra de ESOBADES</t>
  </si>
  <si>
    <t xml:space="preserve">Compra de estuco ESOBADES </t>
  </si>
  <si>
    <t>Compra de vidrio, corte de vidrio ESOBADES</t>
  </si>
  <si>
    <t>Compra de materiales de contruccion ESOBADES</t>
  </si>
  <si>
    <t>Liquidacion a Comercion TDD- 87989844/002/00079</t>
  </si>
  <si>
    <t>Liquidacion a Comercion TDD- 87989844/002/00080</t>
  </si>
  <si>
    <t>Pago de Torrefactora Brasil (TORREBA) 61522087</t>
  </si>
  <si>
    <t>Pago de Torrefactora Brasil (TORREBA) 61522767</t>
  </si>
  <si>
    <t>Reparacion de Cuatrimoto-Vertedero</t>
  </si>
  <si>
    <t>Compra de llaves, y pvc para construcccion en ESOBADES</t>
  </si>
  <si>
    <t>Escobas, bolsas plasticas ESOBADES</t>
  </si>
  <si>
    <t>Iluminacion materiales ESOBADES</t>
  </si>
  <si>
    <t>Pintura ESOBADES</t>
  </si>
  <si>
    <t>Abono de Maquinaria D5 (Luis Alfredo Martinez) 34296578</t>
  </si>
  <si>
    <t>Transferecia a Hernando Delgado por solicitud de prestamo (34296747)</t>
  </si>
  <si>
    <t>Nomina de Obreros de Chatarra-ESOBADES (Jesus Ludert) 34297968</t>
  </si>
  <si>
    <t>Recarga de Toner (Imfo Services) 34308278</t>
  </si>
  <si>
    <t>Pago a vigilante del Vertedero (343097960)</t>
  </si>
  <si>
    <t>Abono de Maquinaria Payloader (Miguel Angel Cordero) 34310583</t>
  </si>
  <si>
    <t>Compra materiales de construccion ESOBADES</t>
  </si>
  <si>
    <t>Liquidacion a Comercion TDD- 87989844/002/00081</t>
  </si>
  <si>
    <t>Compra de gasolina para transporte ESOBADES</t>
  </si>
  <si>
    <t>Compra de Hielo y agua ESOBADES</t>
  </si>
  <si>
    <t>Liquidacion a Comercion TDD- 87989844/002/00082</t>
  </si>
  <si>
    <t>Liquidacion a Comercion TDD- 87989844/002/00083</t>
  </si>
  <si>
    <t>Pago de Almuerzo (Yohaly Sanchez)</t>
  </si>
  <si>
    <t>Pago de Gatell Carlos Hernan 01237037</t>
  </si>
  <si>
    <t>Pago de Gatell Carlos Hernan 01252017</t>
  </si>
  <si>
    <t>Pago de Operadora el Dorado 94795052</t>
  </si>
  <si>
    <t>Compra de papeleria (Oriente Textil, c.a)</t>
  </si>
  <si>
    <t>Pagos de SENIAT a Serv. Sum. Aro 34911620</t>
  </si>
  <si>
    <t xml:space="preserve">Compra de rollos de papel para puntos de venta </t>
  </si>
  <si>
    <t>Devolucion de ISLR a Corp. Telemic 34919155</t>
  </si>
  <si>
    <t>Compra de arranque para Payloader/Maquinaria 34935275</t>
  </si>
  <si>
    <t>Pago de Serdeco 24145261</t>
  </si>
  <si>
    <t>Liquidacion a Comercion TDD- 87989844/002/00084</t>
  </si>
  <si>
    <t>Pago de Grupo Prime Shoes, c.a</t>
  </si>
  <si>
    <t>Condominio Septiembre 2026 35016994</t>
  </si>
  <si>
    <t>Reparacion de Motorroa 35018198</t>
  </si>
  <si>
    <t>Pago de Corporacion Ensyla, c.a</t>
  </si>
  <si>
    <t>Pago de Consorcio Futuagro, c.a</t>
  </si>
  <si>
    <t>Colaboracion a comando policial cercano al vertedero 35019000</t>
  </si>
  <si>
    <t>Reparacion de cauchos de maquinaria 35023588</t>
  </si>
  <si>
    <t>Induccion del sistema ECOVIDABA 35089920</t>
  </si>
  <si>
    <t>Cancelacion de 9 dispositivos Biopago 35091342</t>
  </si>
  <si>
    <t>Pago de Amanecer Café, c.a 75998793</t>
  </si>
  <si>
    <t>Pago de Farmacio Nuevo Siglo, c.a</t>
  </si>
  <si>
    <t>Liquidacion a Comercion TDD- 87989844/002/00085</t>
  </si>
  <si>
    <t>Almuerzo (Yohaly Sanchez)</t>
  </si>
  <si>
    <t>Reparacion de cauchos de maquinaria 35300319</t>
  </si>
  <si>
    <t>Liquidacion a Comercion TDD- 87989844/002/00086</t>
  </si>
  <si>
    <t xml:space="preserve">Punto </t>
  </si>
  <si>
    <t xml:space="preserve">Compra de Cerradura y Termo ESOBADES </t>
  </si>
  <si>
    <t>Compra de cerradura ESOBADES</t>
  </si>
  <si>
    <t>Compra de manilla fija-movil ESOBADES</t>
  </si>
  <si>
    <t>Mano de obra-reparacion de la Cuatrimoto 35439239</t>
  </si>
  <si>
    <t>Pago de Vigilante fin de semana 5-6 sep 35439895</t>
  </si>
  <si>
    <t>Pago del Club Italo Venezolano 96409376</t>
  </si>
  <si>
    <t>Camion Cisterna VERTEDERO-ESOBADES 35440588</t>
  </si>
  <si>
    <t>Reparacion de caucho- maquinaria 35441359</t>
  </si>
  <si>
    <t>Compra de Tapete-cocina ESOBADES</t>
  </si>
  <si>
    <t>Compra de Hilo y agua ESOBADES</t>
  </si>
  <si>
    <t>Compra de refrigerio ESOBADES</t>
  </si>
  <si>
    <t>Soldadura- Cardan de maquinaria payloader</t>
  </si>
  <si>
    <t>Liquidacion a Comercion TDD- 87989844/002/00087</t>
  </si>
  <si>
    <t>Liquidacion a Comercion TDD- 87989844/001/00001</t>
  </si>
  <si>
    <t>Liquidacion a Comercion TDD- 87989844/001/00023</t>
  </si>
  <si>
    <t>Pago de Andreina Moreno Rodriguez 32353909</t>
  </si>
  <si>
    <t>Pago de Rafael Dorante (Pollo Dorado) 17760694</t>
  </si>
  <si>
    <t>Pago de Comité Paritario de Gestion (CC CIMA) 55448916</t>
  </si>
  <si>
    <t>Pago Serdeco 24205318</t>
  </si>
  <si>
    <t>Liquidacion a Comercion TDD- 87989844/002/00089</t>
  </si>
  <si>
    <t>Liquidacion a Comercion TDD- 87989844/002/00088</t>
  </si>
  <si>
    <t>Liquidacion a Comercion TDD- 87989844/001/00024</t>
  </si>
  <si>
    <t>Liquidacion a Comercion TDD- 87989844/002/00090</t>
  </si>
  <si>
    <t>Pago de Distriboca 98149034</t>
  </si>
  <si>
    <t>Liquidacion a Comercion TDD- 87989844/002/00092</t>
  </si>
  <si>
    <t>Liquidacion a Comercion TDD- 87989844/002/00091</t>
  </si>
  <si>
    <t xml:space="preserve">Compra de refrigerio para evaluacion PROYECTOS AG </t>
  </si>
  <si>
    <t>Pago de Serdeco 19980368</t>
  </si>
  <si>
    <t xml:space="preserve">Pago de Internet MINET </t>
  </si>
  <si>
    <t>Pago de Constructora Villa Toscana 97228440</t>
  </si>
  <si>
    <t>Traspaso de Nomina a cuenta del Banco de Vzla 96459403</t>
  </si>
  <si>
    <t>Liquidacion a Comercion TDD- 87989844/002/00094</t>
  </si>
  <si>
    <t>Liquidacion a Comercion TDD- 87989844/001/00025</t>
  </si>
  <si>
    <t>Liquidacion a Comercion TDD- 87989844/002/00093</t>
  </si>
  <si>
    <t>Liquidacion a Comercion TDD- 87989844/001/00002</t>
  </si>
  <si>
    <t>Pago de reparacion de cauchos (no emitio comprobante) 36721265</t>
  </si>
  <si>
    <t>Reparacion de Bornes de bateria- Maquinaria 36722782</t>
  </si>
  <si>
    <t>Reparacion de manguera-payloader- Maquinaria 36724842</t>
  </si>
  <si>
    <t>Recarga Movistar 5550117527</t>
  </si>
  <si>
    <t>Pago del Sistema de Facturacion (CEOS Software) 1076709872</t>
  </si>
  <si>
    <t>Pago del Aseo (ECODEBA, S.A) 36730627</t>
  </si>
  <si>
    <t>Pago de Farmatodo 44200001</t>
  </si>
  <si>
    <t>Instalacion del papel ahumado de la fachada de la oficina de Ecovida 36731514</t>
  </si>
  <si>
    <t xml:space="preserve">Nomina de Obreros- Esobades 35746834 Jesus Ludert </t>
  </si>
  <si>
    <t>Pago de Ciudad Catador, c.a</t>
  </si>
  <si>
    <t>Liquidacion a Comercion TDD- 87989844/002/00095</t>
  </si>
  <si>
    <t>Liquidacion a Comercion TDD- 87989844/001/00026</t>
  </si>
  <si>
    <t>Pago de facturacion digital (The factory HKA Vzla, c.a) 1078847571</t>
  </si>
  <si>
    <t>Pago de facturacion digital IVA (The factory HKA Vzla, c.a) 1078921427</t>
  </si>
  <si>
    <t>Materiales de construccion ESOBADES</t>
  </si>
  <si>
    <t>Compra de Hidratacion ESOBADES</t>
  </si>
  <si>
    <t>Compra de Pintura- Inversiones Alto Colores ESOBADES</t>
  </si>
  <si>
    <t xml:space="preserve">Devolucion de dinero transferido el dia 16/09 por efectos del banco </t>
  </si>
  <si>
    <t>Comision bancaria devuelta</t>
  </si>
  <si>
    <t>Comision de asesores de recaudacion-Holbert Laborda 1080598333</t>
  </si>
  <si>
    <t>Comision de asesores de recaudacion-Indiana Angola 36972548</t>
  </si>
  <si>
    <t>Comision de asesores de recaudacion-Luis Colmenares 36974180</t>
  </si>
  <si>
    <t>Comision de asesores de recaudacion-Armando Ereu 36976958</t>
  </si>
  <si>
    <t>Pago a cauchera- maquinaria 36981568</t>
  </si>
  <si>
    <t>Liquidacion a Comercion TDD- 87989844/002/00096</t>
  </si>
  <si>
    <t>Pago de Impuestos SAMAT 37129560</t>
  </si>
  <si>
    <t>Pago de nomina Obreros- Esobades (Jesus Ludert) 37129961</t>
  </si>
  <si>
    <t>Pago de credito de Mangocenter 37165075</t>
  </si>
  <si>
    <t>Liquidacion a Comercion TDD- 87989844/002/00097</t>
  </si>
  <si>
    <t>Compra de Tirro- ESOBADES</t>
  </si>
  <si>
    <t>Compra de Hielo ESOBADES</t>
  </si>
  <si>
    <t xml:space="preserve">Compra de refrigerio ESOBADES </t>
  </si>
  <si>
    <t>Liquidacion a Comercion TDD- 87989844/002/00098</t>
  </si>
  <si>
    <t>Liquidacion a Comercion TDD- 87989844/002/00099</t>
  </si>
  <si>
    <t>Pago de Casique Rodriguez Simon Eduardo (Hotel Eurobuilding) 00136505</t>
  </si>
  <si>
    <t>Pago de nomina faltande de Pedro Cuauro 37825298</t>
  </si>
  <si>
    <t>Liquidacion a Comercion TDD- 87989844/002/00100</t>
  </si>
  <si>
    <t>Pago de Serdeco 25152727</t>
  </si>
  <si>
    <t>Compra de tirro blanco ESOBADES</t>
  </si>
  <si>
    <t>Compra de hielo ESOBADES</t>
  </si>
  <si>
    <t>Compra varias para refrigerio de reunion ESOBADES 1</t>
  </si>
  <si>
    <t>Compra varias para refrigerio de reunion ESOBADES 2</t>
  </si>
  <si>
    <t>Compra varias para refrigerio de reunion ESOBADES 3</t>
  </si>
  <si>
    <t>Bateria-Gasolina de Trimoto en Vertedero 37950521</t>
  </si>
  <si>
    <t>Reparacion de Cauchos- Maquinaria 37953370</t>
  </si>
  <si>
    <t>Bornes de bateria Payloader-Maquinaria</t>
  </si>
  <si>
    <t>Impuestos SENIAT 3880421087681</t>
  </si>
  <si>
    <t>Impuestos - DDP 3353266081317</t>
  </si>
  <si>
    <t>Honorarios de Contabilidad (Yoneida Guitierrez) 32753395</t>
  </si>
  <si>
    <t>Contabilidad</t>
  </si>
  <si>
    <t>Pago para elaboracion de empaque para del carter de maquinaria (Telles Empacaduras) 33386362</t>
  </si>
  <si>
    <t>Compra de gasolina para camion operativo de ESOBADES 33611678</t>
  </si>
  <si>
    <t>Proyecto Saque</t>
  </si>
  <si>
    <t>Admnistrativo</t>
  </si>
  <si>
    <t>Devolucion ISLR</t>
  </si>
  <si>
    <t>Sistema Ecovidaba</t>
  </si>
  <si>
    <t>Proyectos AG</t>
  </si>
  <si>
    <t>Liquidacion a Comercion TDD- 87989844/002/00101</t>
  </si>
  <si>
    <t>Devolucion de IVA e ISLR  a Motel La Sevillana  38209738</t>
  </si>
  <si>
    <t>Pago de Orrines y sellos de Payloader- Maquinaria 38210788</t>
  </si>
  <si>
    <t>Liquidacion a Comercion TDD- 87989844/002/00102</t>
  </si>
  <si>
    <t>Liquidacion a Comercion TDD- 87989844/001/00027</t>
  </si>
  <si>
    <t>Liquidacion a Comercion TDD- 87989844/001/00028</t>
  </si>
  <si>
    <t>Compra de vasos, café, desinfectante etc para oficina</t>
  </si>
  <si>
    <t>Pago de Bornes-Bateria-Maquinaria 38448785</t>
  </si>
  <si>
    <t>Reparacion de Bornes-Bateria- Maquinaria 38450308</t>
  </si>
  <si>
    <t>Liquidacion Payloader (Miguel Cordero) 38451002</t>
  </si>
  <si>
    <t>Servicio de Ingenieria- Saque (Soluciones Agroindustriales Cascar, c.a) 38451713</t>
  </si>
  <si>
    <t>Traspaso para pago de nomina de obreros y canalero ESOBADES</t>
  </si>
  <si>
    <t>Liquidacion a Comercion TDD- 87989844/002/00103</t>
  </si>
  <si>
    <t>Compra de papeleria (Comercial La nueva chinita)</t>
  </si>
  <si>
    <t>Liquidacion a Comercion TDD- 87989844/002/00104</t>
  </si>
  <si>
    <t>Liquidacion a Comercion TDD- 87989844/002/00105</t>
  </si>
  <si>
    <t>Liquidacion a Comercion TDD- 87989844/002/00106</t>
  </si>
  <si>
    <t>Compra de agua potable (Bodegon e Inversiones La Dinastia)</t>
  </si>
  <si>
    <t>Compra de pasapalos para evalucion de ambiente- Proyectos AG (Mundo Fiesta)</t>
  </si>
  <si>
    <t xml:space="preserve">Compra de Refresco para evaluacion de ambiente- Proyectos AG (Supermercado Luna Llena) </t>
  </si>
  <si>
    <t>Serdeco 24379905</t>
  </si>
  <si>
    <t>Liquidacion a Comercion TDD- 87989844/002/00107</t>
  </si>
  <si>
    <t>Liquidacion a Comercion TDD- 87989844/001/00029</t>
  </si>
  <si>
    <t>Liquidacion a Comercion TDD- 87989844/001/00003</t>
  </si>
  <si>
    <t>Rondon Cuevas Maygualida Teresa 30253035</t>
  </si>
  <si>
    <t>Liquidacion a Comercion TDD- 87989844/002/00108</t>
  </si>
  <si>
    <t>Liquidacion a Comercion TDD- 87989844/001/00030</t>
  </si>
  <si>
    <t xml:space="preserve">Banco </t>
  </si>
  <si>
    <t>Pago en Tealca por recepcion de Biopagos</t>
  </si>
  <si>
    <t>Traspaso a la cuenta de Venezuela para pago de Nomina 39748159</t>
  </si>
  <si>
    <t>Traspaso a mla cuenta de Venezuela para pago de Comisiones a los asesores 39748596</t>
  </si>
  <si>
    <t>Pre compra de numeros de control (The Factory HKA) 1124047356</t>
  </si>
  <si>
    <t>Reparacion de cauchos de maquinaria 39788932</t>
  </si>
  <si>
    <t>Pago de Transporte y Encomienda (Jose Ballesteros) 39789516</t>
  </si>
  <si>
    <t>Recaudacion Serdeco</t>
  </si>
  <si>
    <t>Puerta Vertedero</t>
  </si>
  <si>
    <t xml:space="preserve"> Puerta Vertedero</t>
  </si>
  <si>
    <t>Recaudacion Comercial</t>
  </si>
  <si>
    <t>Recaudacion Oficina</t>
  </si>
  <si>
    <t>Recaudacion comercial</t>
  </si>
  <si>
    <t>Recaudacion oficina</t>
  </si>
  <si>
    <t>Nomina Temporal</t>
  </si>
  <si>
    <t>DDP</t>
  </si>
  <si>
    <t>Saque</t>
  </si>
  <si>
    <t>Traspaso a la cuenta de Venezuela para pago de Comisiones a los asesores 39748596</t>
  </si>
  <si>
    <t>Abono de Maquinaria D5 (Luis Martinez)  38450308</t>
  </si>
  <si>
    <t>Liquidacion a Comercion TDD- 87989844/002/00109</t>
  </si>
  <si>
    <t>Refrigerio Obreros - Esobades</t>
  </si>
  <si>
    <t>Destornilladores - Esmeril  - Esobades</t>
  </si>
  <si>
    <t>Diliyente- Valvula - Esobades</t>
  </si>
  <si>
    <t>Hielo Obreros - Esobades</t>
  </si>
  <si>
    <t>Hidratacion- Esobades</t>
  </si>
  <si>
    <t>Traspaso de fondos de Ecovida 61930008</t>
  </si>
  <si>
    <t>Corporacion Telemic, c.a 32434563</t>
  </si>
  <si>
    <t>Honorarios contables (Yoneida Gutierrez) 40287574</t>
  </si>
  <si>
    <t>Nomina de Obreros- Esobades (Jesus Ludert) 40320559</t>
  </si>
  <si>
    <t>Liquidacion a Comercion TDD- 87989844/002/00111</t>
  </si>
  <si>
    <t>02/102026</t>
  </si>
  <si>
    <t>Gastos de refrigerio- obreros</t>
  </si>
  <si>
    <t>Liquidacion a Comercion TDD- 87989844/002/00112</t>
  </si>
  <si>
    <t>Liquidacion a Comercion TDD- 87989844/002/00113</t>
  </si>
  <si>
    <t>IMPUESTO SOBRE LA RENTA</t>
  </si>
  <si>
    <t>Serdeco 24480664</t>
  </si>
  <si>
    <t>Liquidacion a Comercion TDD- 87989844/002/00114</t>
  </si>
  <si>
    <t>Recaudacion de DF del 01 al 04 de Oct. 1/2</t>
  </si>
  <si>
    <t>Recaudacion de DF del 01 al 04 de Oct. 2/2</t>
  </si>
  <si>
    <t>Canalaero y obreros en Esobades ( Jesus Ludert) 41193532</t>
  </si>
  <si>
    <t>Abono Maquinaria -  Septiembre 2026 (Jean Martinez) 41199570</t>
  </si>
  <si>
    <t>Tripas de cauchos de maquinaria ) (Jonny Garcia) 41208341</t>
  </si>
  <si>
    <t>Pago de renovacion de contrato, deposito y alquiler del local 11, CC Gran Jardin (Dixon Aro) 1146024076</t>
  </si>
  <si>
    <t>Liquidacion a Comercion TDD- 87989844/002/00110</t>
  </si>
  <si>
    <t>Liquidacion a Comercion TDD- 87989844/002/00116</t>
  </si>
  <si>
    <t>Liquidacion a Comercion TDD- 87989844/002/00115</t>
  </si>
  <si>
    <t>Condominio Octubre 2026 41301369</t>
  </si>
  <si>
    <t>Pago de maquinaria Payloder (Miguel Cordero) 41301880</t>
  </si>
  <si>
    <t>Gasoil para maquinaria (Humberto Chalbaud) 41367054</t>
  </si>
  <si>
    <t>Cauchos de maquinaria payloader (Jorge Sanchez) 1148499747</t>
  </si>
  <si>
    <t>10 viajes de escombro pdvsa (Constructora Ciudad de Oro) 17760517</t>
  </si>
  <si>
    <t>Deuda pendiente de gastos en Esobades (Jesus Ludert) 41433967</t>
  </si>
  <si>
    <t>Liquidacion a Comercion TDD- 87989844/002/00117</t>
  </si>
  <si>
    <t>Liquidacion de mes de agosto 2026 maquinaria (Luis Martinez) 41631607</t>
  </si>
  <si>
    <t>Liquidacion a Comercion TDD- 87989844/002/00118</t>
  </si>
  <si>
    <t>COBRO POR PROCESAMIENTO DE TF - 2026-10-09</t>
  </si>
  <si>
    <t>Pago de nomina de obreros y canalero- Nuevo local (Jesus Ludert ) 41886387</t>
  </si>
  <si>
    <t>Materiales de construccion - Credito Mangocenter- Esobades 41887845</t>
  </si>
  <si>
    <t>Muebles- Nuevo local (Jesus Ludert) 41902833</t>
  </si>
  <si>
    <t>50% de reparacion de payloader y pago pendiente de maquinaria (Jean Martinez) 41904183</t>
  </si>
  <si>
    <t xml:space="preserve">Estacion de servicio Alto Barinas (Gasolina para viaje a Valencia) </t>
  </si>
  <si>
    <t>Liquidacion a Comercion TDD- 87989844/002/00119</t>
  </si>
  <si>
    <t>COBRO POR PROCESAMIENTO DE TF - 2026-10-10</t>
  </si>
  <si>
    <t xml:space="preserve">Peaje en Portuguesa (Viaje a Valencia) </t>
  </si>
  <si>
    <t xml:space="preserve">Peaje en Cojedes (Viaje a Valencia) </t>
  </si>
  <si>
    <t xml:space="preserve">Estacion de servicio Centro Tocuyito (Gasolina para viaje a Valencia) </t>
  </si>
  <si>
    <t>6 Sillas negras (Suhsillas, c.a) Valencia</t>
  </si>
  <si>
    <t>Preguuntar al señor luder</t>
  </si>
  <si>
    <t>Estacionamiento Metropolitano de Valencia</t>
  </si>
  <si>
    <t>Prestamo a Proyectos AG Soluciones</t>
  </si>
  <si>
    <t xml:space="preserve">Estacion de servicio CEDICO </t>
  </si>
  <si>
    <t>Peaje  (Viaje a Valencia)</t>
  </si>
  <si>
    <t>Angel Osiris Guevara Perez 1160469611</t>
  </si>
  <si>
    <t>Liquidacion a Comercion TDD- 87989844/002/00120</t>
  </si>
  <si>
    <t>COBRO POR PROCESAMIENTO DE TF - 2026-10-11</t>
  </si>
  <si>
    <t>Liquidacion a Comercion TDD- 87989844/002/00121</t>
  </si>
  <si>
    <t>COBRO POR PROCESAMIENTO DE TF - 2026-10-12</t>
  </si>
  <si>
    <t>Pago de Proyecto AG Soluciones (Prestamo) 65572731</t>
  </si>
  <si>
    <t xml:space="preserve">Servicio de Internet MINET, C.A </t>
  </si>
  <si>
    <t>Contadora de Billetes y dos adaptadores Europeos</t>
  </si>
  <si>
    <t>Caja de efectivo</t>
  </si>
  <si>
    <t>Estacion de Servicio la Nona</t>
  </si>
  <si>
    <t xml:space="preserve">Utensilios de Limpieza </t>
  </si>
  <si>
    <t>Contrato de Internet del nuevo local MINET, C.A</t>
  </si>
  <si>
    <t>Liquidacion a Comercion TDD- 87989844/002/00122</t>
  </si>
  <si>
    <t>COBRO POR PROCESAMIENTO DE TF - 2026-10-13</t>
  </si>
  <si>
    <t>Pre compra de numeros de control- The Factory HKA Vzla 1167070360</t>
  </si>
  <si>
    <t>Impresión de Planos Cascar, c.a 42592057</t>
  </si>
  <si>
    <t>Serdeco 24563331</t>
  </si>
  <si>
    <t>Reparacion de Vehiculo- Esobades 42662488</t>
  </si>
  <si>
    <t>Envie de sms</t>
  </si>
  <si>
    <t>Pago de intereses</t>
  </si>
  <si>
    <t>Intereses del banco</t>
  </si>
  <si>
    <t>Traspaso interno entre cuentas</t>
  </si>
  <si>
    <t>Recaudacion Gestion Integral</t>
  </si>
  <si>
    <t>Recaudacion DF 05 y 06 de Oct. 2026 67022453</t>
  </si>
  <si>
    <t>Recaudacion de DF 7 y 8 de Oct 2026</t>
  </si>
  <si>
    <t>Servicio de Facturacion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</si>
</sst>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43" fontId="72" fillId="0" borderId="0" applyFont="0" applyFill="0" applyBorder="0" applyAlignment="0" applyProtection="0"/>
    <xf numFmtId="0" fontId="76" fillId="5" borderId="0" applyNumberFormat="0" applyBorder="0" applyAlignment="0" applyProtection="0"/>
  </cellStyleXfs>
  <cellXfs count="561">
    <xf numFmtId="0" fontId="0" fillId="0" borderId="0" xfId="0"/>
    <xf numFmtId="0" fontId="70" fillId="2" borderId="1" xfId="0" applyFont="1" applyFill="1" applyBorder="1" applyAlignment="1">
      <alignment horizontal="center"/>
    </xf>
    <xf numFmtId="0" fontId="70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43" fontId="71" fillId="0" borderId="4" xfId="1" applyFont="1" applyBorder="1" applyAlignment="1">
      <alignment horizontal="center"/>
    </xf>
    <xf numFmtId="43" fontId="71" fillId="0" borderId="4" xfId="1" applyFont="1" applyFill="1" applyBorder="1" applyAlignment="1">
      <alignment horizontal="center"/>
    </xf>
    <xf numFmtId="0" fontId="72" fillId="0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2" fillId="0" borderId="5" xfId="0" applyFont="1" applyBorder="1"/>
    <xf numFmtId="0" fontId="73" fillId="0" borderId="2" xfId="0" applyFont="1" applyBorder="1"/>
    <xf numFmtId="0" fontId="73" fillId="0" borderId="5" xfId="0" applyFont="1" applyBorder="1"/>
    <xf numFmtId="0" fontId="0" fillId="0" borderId="2" xfId="0" applyBorder="1"/>
    <xf numFmtId="0" fontId="0" fillId="0" borderId="5" xfId="0" applyBorder="1"/>
    <xf numFmtId="43" fontId="74" fillId="0" borderId="5" xfId="0" applyNumberFormat="1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43" fontId="73" fillId="0" borderId="5" xfId="1" applyFont="1" applyBorder="1"/>
    <xf numFmtId="43" fontId="75" fillId="0" borderId="5" xfId="0" applyNumberFormat="1" applyFont="1" applyBorder="1"/>
    <xf numFmtId="14" fontId="72" fillId="3" borderId="1" xfId="2" applyNumberFormat="1" applyFont="1" applyFill="1" applyBorder="1" applyAlignment="1">
      <alignment horizontal="center"/>
    </xf>
    <xf numFmtId="0" fontId="72" fillId="3" borderId="5" xfId="2" applyFont="1" applyFill="1" applyBorder="1" applyAlignment="1">
      <alignment horizontal="left"/>
    </xf>
    <xf numFmtId="43" fontId="73" fillId="3" borderId="2" xfId="2" applyNumberFormat="1" applyFont="1" applyFill="1" applyBorder="1"/>
    <xf numFmtId="43" fontId="73" fillId="3" borderId="5" xfId="1" applyFont="1" applyFill="1" applyBorder="1"/>
    <xf numFmtId="43" fontId="76" fillId="3" borderId="5" xfId="1" applyFont="1" applyFill="1" applyBorder="1"/>
    <xf numFmtId="43" fontId="76" fillId="3" borderId="2" xfId="1" applyFont="1" applyFill="1" applyBorder="1"/>
    <xf numFmtId="43" fontId="75" fillId="3" borderId="5" xfId="2" applyNumberFormat="1" applyFont="1" applyFill="1" applyBorder="1"/>
    <xf numFmtId="0" fontId="72" fillId="3" borderId="5" xfId="2" applyFont="1" applyFill="1" applyBorder="1" applyAlignment="1">
      <alignment horizontal="center"/>
    </xf>
    <xf numFmtId="0" fontId="72" fillId="0" borderId="5" xfId="0" applyFont="1" applyBorder="1" applyAlignment="1">
      <alignment horizontal="left"/>
    </xf>
    <xf numFmtId="43" fontId="73" fillId="0" borderId="2" xfId="1" applyFont="1" applyBorder="1"/>
    <xf numFmtId="0" fontId="72" fillId="0" borderId="3" xfId="0" applyFont="1" applyBorder="1" applyAlignment="1">
      <alignment horizontal="center"/>
    </xf>
    <xf numFmtId="0" fontId="72" fillId="0" borderId="5" xfId="0" applyFont="1" applyFill="1" applyBorder="1" applyAlignment="1">
      <alignment horizontal="left"/>
    </xf>
    <xf numFmtId="43" fontId="77" fillId="0" borderId="5" xfId="0" applyNumberFormat="1" applyFont="1" applyBorder="1"/>
    <xf numFmtId="0" fontId="72" fillId="0" borderId="5" xfId="0" applyFont="1" applyBorder="1" applyAlignment="1">
      <alignment horizontal="center"/>
    </xf>
    <xf numFmtId="43" fontId="78" fillId="0" borderId="5" xfId="1" applyFont="1" applyBorder="1"/>
    <xf numFmtId="43" fontId="78" fillId="0" borderId="2" xfId="1" applyFont="1" applyBorder="1"/>
    <xf numFmtId="43" fontId="73" fillId="0" borderId="4" xfId="1" applyFont="1" applyBorder="1" applyAlignment="1">
      <alignment horizontal="center"/>
    </xf>
    <xf numFmtId="43" fontId="73" fillId="0" borderId="4" xfId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4" fontId="79" fillId="0" borderId="1" xfId="0" applyNumberFormat="1" applyFont="1" applyBorder="1" applyAlignment="1">
      <alignment horizontal="center"/>
    </xf>
    <xf numFmtId="0" fontId="79" fillId="0" borderId="5" xfId="0" applyFont="1" applyBorder="1"/>
    <xf numFmtId="0" fontId="80" fillId="0" borderId="2" xfId="0" applyFont="1" applyBorder="1"/>
    <xf numFmtId="43" fontId="80" fillId="0" borderId="5" xfId="1" applyFont="1" applyBorder="1"/>
    <xf numFmtId="43" fontId="81" fillId="0" borderId="5" xfId="0" applyNumberFormat="1" applyFont="1" applyBorder="1"/>
    <xf numFmtId="0" fontId="79" fillId="0" borderId="3" xfId="0" applyFont="1" applyBorder="1" applyAlignment="1">
      <alignment horizontal="center"/>
    </xf>
    <xf numFmtId="14" fontId="76" fillId="4" borderId="1" xfId="2" applyNumberFormat="1" applyFill="1" applyBorder="1" applyAlignment="1">
      <alignment horizontal="center"/>
    </xf>
    <xf numFmtId="0" fontId="76" fillId="4" borderId="5" xfId="2" applyFill="1" applyBorder="1" applyAlignment="1">
      <alignment horizontal="center"/>
    </xf>
    <xf numFmtId="43" fontId="73" fillId="4" borderId="2" xfId="2" applyNumberFormat="1" applyFont="1" applyFill="1" applyBorder="1"/>
    <xf numFmtId="0" fontId="73" fillId="4" borderId="5" xfId="2" applyFont="1" applyFill="1" applyBorder="1"/>
    <xf numFmtId="43" fontId="76" fillId="4" borderId="5" xfId="1" applyFont="1" applyFill="1" applyBorder="1"/>
    <xf numFmtId="43" fontId="76" fillId="4" borderId="2" xfId="1" applyFont="1" applyFill="1" applyBorder="1"/>
    <xf numFmtId="43" fontId="76" fillId="4" borderId="5" xfId="2" applyNumberFormat="1" applyFill="1" applyBorder="1"/>
    <xf numFmtId="0" fontId="0" fillId="0" borderId="5" xfId="0" applyFill="1" applyBorder="1" applyAlignment="1">
      <alignment horizontal="center"/>
    </xf>
    <xf numFmtId="4" fontId="73" fillId="0" borderId="2" xfId="0" applyNumberFormat="1" applyFont="1" applyBorder="1"/>
    <xf numFmtId="14" fontId="76" fillId="5" borderId="1" xfId="2" applyNumberFormat="1" applyBorder="1" applyAlignment="1">
      <alignment horizontal="center"/>
    </xf>
    <xf numFmtId="0" fontId="76" fillId="5" borderId="5" xfId="2" applyBorder="1" applyAlignment="1">
      <alignment wrapText="1"/>
    </xf>
    <xf numFmtId="0" fontId="73" fillId="5" borderId="0" xfId="2" applyFont="1"/>
    <xf numFmtId="0" fontId="73" fillId="5" borderId="5" xfId="2" applyFont="1" applyBorder="1"/>
    <xf numFmtId="43" fontId="76" fillId="5" borderId="5" xfId="1" applyFont="1" applyFill="1" applyBorder="1"/>
    <xf numFmtId="43" fontId="76" fillId="5" borderId="2" xfId="1" applyFont="1" applyFill="1" applyBorder="1"/>
    <xf numFmtId="43" fontId="76" fillId="5" borderId="5" xfId="2" applyNumberFormat="1" applyBorder="1"/>
    <xf numFmtId="0" fontId="76" fillId="5" borderId="5" xfId="2" applyBorder="1" applyAlignment="1">
      <alignment horizontal="center"/>
    </xf>
    <xf numFmtId="0" fontId="76" fillId="5" borderId="5" xfId="2" applyBorder="1"/>
    <xf numFmtId="0" fontId="0" fillId="0" borderId="5" xfId="0" applyBorder="1" applyAlignment="1">
      <alignment wrapText="1"/>
    </xf>
    <xf numFmtId="0" fontId="76" fillId="5" borderId="0" xfId="2"/>
    <xf numFmtId="43" fontId="76" fillId="5" borderId="2" xfId="2" applyNumberFormat="1" applyBorder="1"/>
    <xf numFmtId="0" fontId="76" fillId="5" borderId="2" xfId="2" applyBorder="1"/>
    <xf numFmtId="4" fontId="76" fillId="5" borderId="5" xfId="2" applyNumberFormat="1" applyBorder="1"/>
    <xf numFmtId="14" fontId="82" fillId="4" borderId="1" xfId="0" applyNumberFormat="1" applyFont="1" applyFill="1" applyBorder="1" applyAlignment="1">
      <alignment horizontal="center"/>
    </xf>
    <xf numFmtId="0" fontId="82" fillId="4" borderId="5" xfId="0" applyFont="1" applyFill="1" applyBorder="1"/>
    <xf numFmtId="0" fontId="82" fillId="4" borderId="0" xfId="0" applyFont="1" applyFill="1"/>
    <xf numFmtId="43" fontId="82" fillId="4" borderId="5" xfId="1" applyFont="1" applyFill="1" applyBorder="1"/>
    <xf numFmtId="43" fontId="82" fillId="4" borderId="2" xfId="1" applyFont="1" applyFill="1" applyBorder="1"/>
    <xf numFmtId="43" fontId="82" fillId="4" borderId="5" xfId="0" applyNumberFormat="1" applyFont="1" applyFill="1" applyBorder="1"/>
    <xf numFmtId="0" fontId="82" fillId="4" borderId="5" xfId="0" applyFont="1" applyFill="1" applyBorder="1" applyAlignment="1">
      <alignment horizontal="center"/>
    </xf>
    <xf numFmtId="43" fontId="77" fillId="3" borderId="5" xfId="0" applyNumberFormat="1" applyFont="1" applyFill="1" applyBorder="1"/>
    <xf numFmtId="43" fontId="73" fillId="0" borderId="2" xfId="1" applyFont="1" applyBorder="1" applyAlignment="1">
      <alignment horizontal="center"/>
    </xf>
    <xf numFmtId="0" fontId="0" fillId="0" borderId="0" xfId="0" applyBorder="1"/>
    <xf numFmtId="14" fontId="76" fillId="5" borderId="5" xfId="2" applyNumberFormat="1" applyBorder="1" applyAlignment="1">
      <alignment horizontal="center"/>
    </xf>
    <xf numFmtId="43" fontId="76" fillId="5" borderId="5" xfId="1" applyFont="1" applyFill="1" applyBorder="1" applyAlignment="1">
      <alignment horizontal="center"/>
    </xf>
    <xf numFmtId="0" fontId="76" fillId="5" borderId="3" xfId="2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73" fillId="0" borderId="5" xfId="1" applyFont="1" applyBorder="1" applyAlignment="1">
      <alignment horizontal="right"/>
    </xf>
    <xf numFmtId="43" fontId="77" fillId="0" borderId="5" xfId="0" applyNumberFormat="1" applyFont="1" applyBorder="1" applyAlignment="1">
      <alignment horizontal="center"/>
    </xf>
    <xf numFmtId="43" fontId="73" fillId="0" borderId="5" xfId="1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43" fontId="73" fillId="3" borderId="5" xfId="1" applyFont="1" applyFill="1" applyBorder="1" applyAlignment="1">
      <alignment horizontal="center"/>
    </xf>
    <xf numFmtId="43" fontId="76" fillId="5" borderId="5" xfId="2" applyNumberFormat="1" applyBorder="1" applyAlignment="1">
      <alignment horizontal="center"/>
    </xf>
    <xf numFmtId="43" fontId="0" fillId="0" borderId="5" xfId="1" applyFont="1" applyBorder="1"/>
    <xf numFmtId="0" fontId="0" fillId="0" borderId="5" xfId="0" applyBorder="1" applyAlignment="1">
      <alignment horizontal="center" wrapText="1"/>
    </xf>
    <xf numFmtId="43" fontId="0" fillId="0" borderId="5" xfId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43" fontId="77" fillId="0" borderId="4" xfId="0" applyNumberFormat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73" fillId="0" borderId="5" xfId="1" applyFont="1" applyFill="1" applyBorder="1" applyAlignment="1">
      <alignment horizontal="center"/>
    </xf>
    <xf numFmtId="43" fontId="73" fillId="0" borderId="3" xfId="1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43" fontId="73" fillId="0" borderId="4" xfId="1" applyFont="1" applyBorder="1"/>
    <xf numFmtId="0" fontId="0" fillId="0" borderId="4" xfId="0" applyBorder="1"/>
    <xf numFmtId="43" fontId="77" fillId="0" borderId="4" xfId="0" applyNumberFormat="1" applyFont="1" applyBorder="1"/>
    <xf numFmtId="0" fontId="0" fillId="0" borderId="3" xfId="0" applyFill="1" applyBorder="1" applyAlignment="1">
      <alignment horizontal="center"/>
    </xf>
    <xf numFmtId="43" fontId="73" fillId="0" borderId="8" xfId="1" applyFont="1" applyBorder="1"/>
    <xf numFmtId="0" fontId="0" fillId="0" borderId="6" xfId="0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43" fontId="73" fillId="0" borderId="11" xfId="1" applyFont="1" applyBorder="1"/>
    <xf numFmtId="43" fontId="73" fillId="0" borderId="10" xfId="1" applyFon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43" fontId="77" fillId="0" borderId="10" xfId="0" applyNumberFormat="1" applyFont="1" applyBorder="1"/>
    <xf numFmtId="0" fontId="0" fillId="0" borderId="12" xfId="0" applyFill="1" applyBorder="1" applyAlignment="1">
      <alignment horizontal="center"/>
    </xf>
    <xf numFmtId="0" fontId="0" fillId="0" borderId="6" xfId="0" applyBorder="1"/>
    <xf numFmtId="43" fontId="77" fillId="0" borderId="5" xfId="0" applyNumberFormat="1" applyFont="1" applyFill="1" applyBorder="1"/>
    <xf numFmtId="0" fontId="0" fillId="0" borderId="3" xfId="0" applyBorder="1"/>
    <xf numFmtId="0" fontId="0" fillId="0" borderId="8" xfId="0" applyBorder="1"/>
    <xf numFmtId="43" fontId="0" fillId="0" borderId="5" xfId="1" applyFont="1" applyFill="1" applyBorder="1"/>
    <xf numFmtId="0" fontId="0" fillId="0" borderId="5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 wrapText="1"/>
    </xf>
    <xf numFmtId="14" fontId="76" fillId="5" borderId="4" xfId="2" applyNumberFormat="1" applyBorder="1" applyAlignment="1">
      <alignment horizontal="center"/>
    </xf>
    <xf numFmtId="0" fontId="76" fillId="5" borderId="8" xfId="2" applyBorder="1"/>
    <xf numFmtId="43" fontId="77" fillId="0" borderId="2" xfId="0" applyNumberFormat="1" applyFont="1" applyBorder="1"/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43" fontId="73" fillId="0" borderId="0" xfId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76" fillId="5" borderId="2" xfId="2" applyBorder="1" applyAlignment="1">
      <alignment horizontal="center" wrapText="1"/>
    </xf>
    <xf numFmtId="0" fontId="76" fillId="5" borderId="3" xfId="2" applyBorder="1"/>
    <xf numFmtId="0" fontId="0" fillId="0" borderId="10" xfId="0" applyBorder="1" applyAlignment="1">
      <alignment horizontal="center"/>
    </xf>
    <xf numFmtId="0" fontId="73" fillId="0" borderId="0" xfId="0" applyFont="1"/>
    <xf numFmtId="43" fontId="77" fillId="0" borderId="0" xfId="0" applyNumberFormat="1" applyFont="1"/>
    <xf numFmtId="0" fontId="73" fillId="0" borderId="2" xfId="0" applyFont="1" applyBorder="1" applyAlignment="1"/>
    <xf numFmtId="43" fontId="73" fillId="0" borderId="5" xfId="1" applyFont="1" applyFill="1" applyBorder="1" applyAlignment="1"/>
    <xf numFmtId="0" fontId="0" fillId="0" borderId="2" xfId="0" applyBorder="1" applyAlignment="1"/>
    <xf numFmtId="0" fontId="0" fillId="0" borderId="5" xfId="0" applyBorder="1" applyAlignment="1"/>
    <xf numFmtId="43" fontId="77" fillId="0" borderId="5" xfId="0" applyNumberFormat="1" applyFont="1" applyBorder="1" applyAlignment="1"/>
    <xf numFmtId="14" fontId="83" fillId="6" borderId="1" xfId="0" applyNumberFormat="1" applyFont="1" applyFill="1" applyBorder="1" applyAlignment="1">
      <alignment horizontal="center"/>
    </xf>
    <xf numFmtId="0" fontId="83" fillId="6" borderId="5" xfId="0" applyFont="1" applyFill="1" applyBorder="1"/>
    <xf numFmtId="43" fontId="83" fillId="6" borderId="5" xfId="1" applyFont="1" applyFill="1" applyBorder="1"/>
    <xf numFmtId="0" fontId="83" fillId="6" borderId="0" xfId="0" applyFont="1" applyFill="1"/>
    <xf numFmtId="43" fontId="83" fillId="6" borderId="2" xfId="1" applyFont="1" applyFill="1" applyBorder="1"/>
    <xf numFmtId="43" fontId="83" fillId="6" borderId="5" xfId="0" applyNumberFormat="1" applyFont="1" applyFill="1" applyBorder="1"/>
    <xf numFmtId="0" fontId="83" fillId="6" borderId="5" xfId="0" applyFont="1" applyFill="1" applyBorder="1" applyAlignment="1">
      <alignment horizontal="center"/>
    </xf>
    <xf numFmtId="0" fontId="69" fillId="0" borderId="5" xfId="0" applyFont="1" applyBorder="1"/>
    <xf numFmtId="43" fontId="84" fillId="0" borderId="5" xfId="1" applyFont="1" applyBorder="1"/>
    <xf numFmtId="43" fontId="84" fillId="0" borderId="0" xfId="1" applyFont="1" applyFill="1" applyBorder="1"/>
    <xf numFmtId="14" fontId="69" fillId="3" borderId="1" xfId="0" applyNumberFormat="1" applyFont="1" applyFill="1" applyBorder="1" applyAlignment="1">
      <alignment horizontal="center"/>
    </xf>
    <xf numFmtId="0" fontId="69" fillId="3" borderId="5" xfId="0" applyFont="1" applyFill="1" applyBorder="1"/>
    <xf numFmtId="43" fontId="69" fillId="3" borderId="5" xfId="1" applyFont="1" applyFill="1" applyBorder="1"/>
    <xf numFmtId="0" fontId="69" fillId="3" borderId="5" xfId="0" applyFont="1" applyFill="1" applyBorder="1" applyAlignment="1">
      <alignment horizontal="center"/>
    </xf>
    <xf numFmtId="43" fontId="85" fillId="3" borderId="5" xfId="0" applyNumberFormat="1" applyFont="1" applyFill="1" applyBorder="1"/>
    <xf numFmtId="43" fontId="85" fillId="0" borderId="5" xfId="0" applyNumberFormat="1" applyFont="1" applyBorder="1"/>
    <xf numFmtId="43" fontId="84" fillId="3" borderId="2" xfId="1" applyFont="1" applyFill="1" applyBorder="1"/>
    <xf numFmtId="0" fontId="69" fillId="0" borderId="5" xfId="0" applyFont="1" applyBorder="1" applyAlignment="1">
      <alignment horizontal="center"/>
    </xf>
    <xf numFmtId="0" fontId="0" fillId="0" borderId="1" xfId="0" applyBorder="1"/>
    <xf numFmtId="43" fontId="87" fillId="0" borderId="2" xfId="0" applyNumberFormat="1" applyFont="1" applyBorder="1"/>
    <xf numFmtId="43" fontId="87" fillId="0" borderId="5" xfId="0" applyNumberFormat="1" applyFont="1" applyBorder="1"/>
    <xf numFmtId="43" fontId="88" fillId="0" borderId="2" xfId="0" applyNumberFormat="1" applyFont="1" applyBorder="1"/>
    <xf numFmtId="43" fontId="88" fillId="0" borderId="5" xfId="0" applyNumberFormat="1" applyFont="1" applyBorder="1"/>
    <xf numFmtId="0" fontId="86" fillId="0" borderId="1" xfId="0" applyFont="1" applyBorder="1"/>
    <xf numFmtId="0" fontId="0" fillId="0" borderId="12" xfId="0" applyBorder="1" applyAlignment="1">
      <alignment horizontal="center"/>
    </xf>
    <xf numFmtId="43" fontId="81" fillId="0" borderId="10" xfId="0" applyNumberFormat="1" applyFont="1" applyBorder="1"/>
    <xf numFmtId="0" fontId="89" fillId="0" borderId="1" xfId="0" applyFont="1" applyBorder="1"/>
    <xf numFmtId="0" fontId="89" fillId="0" borderId="2" xfId="0" applyFont="1" applyBorder="1"/>
    <xf numFmtId="0" fontId="89" fillId="0" borderId="3" xfId="0" applyFont="1" applyBorder="1"/>
    <xf numFmtId="43" fontId="86" fillId="0" borderId="2" xfId="1" applyFont="1" applyBorder="1"/>
    <xf numFmtId="0" fontId="89" fillId="0" borderId="3" xfId="0" applyFont="1" applyFill="1" applyBorder="1" applyAlignment="1">
      <alignment horizontal="left"/>
    </xf>
    <xf numFmtId="4" fontId="83" fillId="6" borderId="5" xfId="0" applyNumberFormat="1" applyFont="1" applyFill="1" applyBorder="1"/>
    <xf numFmtId="0" fontId="68" fillId="0" borderId="5" xfId="0" applyFont="1" applyBorder="1"/>
    <xf numFmtId="0" fontId="68" fillId="0" borderId="5" xfId="0" applyFont="1" applyBorder="1" applyAlignment="1">
      <alignment horizontal="center"/>
    </xf>
    <xf numFmtId="0" fontId="68" fillId="0" borderId="5" xfId="0" applyFont="1" applyBorder="1" applyAlignment="1">
      <alignment wrapText="1"/>
    </xf>
    <xf numFmtId="0" fontId="67" fillId="0" borderId="5" xfId="0" applyFont="1" applyBorder="1"/>
    <xf numFmtId="0" fontId="67" fillId="0" borderId="5" xfId="0" applyFont="1" applyBorder="1" applyAlignment="1">
      <alignment horizontal="center"/>
    </xf>
    <xf numFmtId="0" fontId="66" fillId="0" borderId="5" xfId="0" applyFont="1" applyBorder="1" applyAlignment="1">
      <alignment wrapText="1"/>
    </xf>
    <xf numFmtId="0" fontId="66" fillId="0" borderId="5" xfId="0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0" fontId="64" fillId="0" borderId="5" xfId="0" applyFont="1" applyBorder="1"/>
    <xf numFmtId="43" fontId="71" fillId="0" borderId="5" xfId="1" applyFont="1" applyBorder="1"/>
    <xf numFmtId="0" fontId="83" fillId="6" borderId="5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63" fillId="0" borderId="5" xfId="0" applyFont="1" applyBorder="1"/>
    <xf numFmtId="0" fontId="63" fillId="0" borderId="3" xfId="0" applyFont="1" applyBorder="1"/>
    <xf numFmtId="0" fontId="0" fillId="0" borderId="5" xfId="0" applyFont="1" applyBorder="1" applyAlignment="1">
      <alignment horizontal="left"/>
    </xf>
    <xf numFmtId="0" fontId="76" fillId="5" borderId="5" xfId="2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76" fillId="5" borderId="8" xfId="2" applyBorder="1" applyAlignment="1">
      <alignment horizontal="left"/>
    </xf>
    <xf numFmtId="0" fontId="76" fillId="5" borderId="2" xfId="2" applyBorder="1" applyAlignment="1">
      <alignment horizontal="left" wrapText="1"/>
    </xf>
    <xf numFmtId="0" fontId="0" fillId="0" borderId="10" xfId="0" applyBorder="1" applyAlignment="1">
      <alignment horizontal="left"/>
    </xf>
    <xf numFmtId="0" fontId="79" fillId="0" borderId="5" xfId="0" applyFont="1" applyBorder="1" applyAlignment="1">
      <alignment horizontal="left"/>
    </xf>
    <xf numFmtId="0" fontId="76" fillId="4" borderId="5" xfId="2" applyFill="1" applyBorder="1" applyAlignment="1">
      <alignment horizontal="left"/>
    </xf>
    <xf numFmtId="0" fontId="63" fillId="0" borderId="5" xfId="0" applyFont="1" applyFill="1" applyBorder="1" applyAlignment="1">
      <alignment horizontal="left"/>
    </xf>
    <xf numFmtId="0" fontId="63" fillId="0" borderId="5" xfId="0" applyFont="1" applyBorder="1" applyAlignment="1">
      <alignment horizontal="center"/>
    </xf>
    <xf numFmtId="43" fontId="71" fillId="0" borderId="2" xfId="1" applyFont="1" applyBorder="1"/>
    <xf numFmtId="0" fontId="0" fillId="0" borderId="0" xfId="0" pivotButton="1"/>
    <xf numFmtId="4" fontId="0" fillId="0" borderId="0" xfId="0" applyNumberFormat="1"/>
    <xf numFmtId="0" fontId="62" fillId="0" borderId="5" xfId="0" applyFont="1" applyBorder="1"/>
    <xf numFmtId="0" fontId="62" fillId="0" borderId="5" xfId="0" applyFont="1" applyBorder="1" applyAlignment="1">
      <alignment horizontal="center"/>
    </xf>
    <xf numFmtId="14" fontId="62" fillId="0" borderId="1" xfId="0" applyNumberFormat="1" applyFont="1" applyFill="1" applyBorder="1" applyAlignment="1">
      <alignment horizontal="center"/>
    </xf>
    <xf numFmtId="0" fontId="62" fillId="0" borderId="5" xfId="0" applyFont="1" applyFill="1" applyBorder="1" applyAlignment="1">
      <alignment wrapText="1"/>
    </xf>
    <xf numFmtId="0" fontId="62" fillId="0" borderId="5" xfId="0" applyFont="1" applyFill="1" applyBorder="1"/>
    <xf numFmtId="43" fontId="62" fillId="0" borderId="2" xfId="1" applyFont="1" applyFill="1" applyBorder="1"/>
    <xf numFmtId="43" fontId="62" fillId="0" borderId="5" xfId="1" applyFont="1" applyFill="1" applyBorder="1"/>
    <xf numFmtId="0" fontId="62" fillId="0" borderId="5" xfId="0" applyFont="1" applyFill="1" applyBorder="1" applyAlignment="1">
      <alignment horizontal="center"/>
    </xf>
    <xf numFmtId="0" fontId="71" fillId="0" borderId="5" xfId="0" applyFont="1" applyFill="1" applyBorder="1"/>
    <xf numFmtId="43" fontId="71" fillId="0" borderId="2" xfId="1" applyFont="1" applyFill="1" applyBorder="1"/>
    <xf numFmtId="43" fontId="75" fillId="0" borderId="5" xfId="0" applyNumberFormat="1" applyFont="1" applyFill="1" applyBorder="1"/>
    <xf numFmtId="0" fontId="61" fillId="0" borderId="5" xfId="0" applyFont="1" applyBorder="1"/>
    <xf numFmtId="0" fontId="61" fillId="0" borderId="5" xfId="0" applyFont="1" applyBorder="1" applyAlignment="1">
      <alignment horizontal="center"/>
    </xf>
    <xf numFmtId="0" fontId="60" fillId="0" borderId="5" xfId="0" applyFont="1" applyBorder="1"/>
    <xf numFmtId="0" fontId="60" fillId="0" borderId="5" xfId="0" applyFont="1" applyBorder="1" applyAlignment="1">
      <alignment horizontal="center"/>
    </xf>
    <xf numFmtId="14" fontId="60" fillId="0" borderId="1" xfId="0" applyNumberFormat="1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5" xfId="0" applyFont="1" applyBorder="1"/>
    <xf numFmtId="14" fontId="0" fillId="0" borderId="0" xfId="0" applyNumberFormat="1" applyBorder="1" applyAlignment="1">
      <alignment horizontal="center"/>
    </xf>
    <xf numFmtId="43" fontId="73" fillId="0" borderId="0" xfId="1" applyFont="1" applyBorder="1"/>
    <xf numFmtId="43" fontId="77" fillId="0" borderId="0" xfId="0" applyNumberFormat="1" applyFont="1" applyBorder="1"/>
    <xf numFmtId="0" fontId="0" fillId="0" borderId="0" xfId="0" applyBorder="1" applyAlignment="1">
      <alignment horizontal="center"/>
    </xf>
    <xf numFmtId="43" fontId="87" fillId="0" borderId="2" xfId="1" applyFont="1" applyBorder="1"/>
    <xf numFmtId="43" fontId="86" fillId="0" borderId="5" xfId="0" applyNumberFormat="1" applyFont="1" applyBorder="1"/>
    <xf numFmtId="14" fontId="0" fillId="3" borderId="1" xfId="0" applyNumberFormat="1" applyFill="1" applyBorder="1" applyAlignment="1">
      <alignment horizontal="center"/>
    </xf>
    <xf numFmtId="0" fontId="73" fillId="3" borderId="2" xfId="0" applyFont="1" applyFill="1" applyBorder="1"/>
    <xf numFmtId="0" fontId="73" fillId="3" borderId="5" xfId="0" applyFont="1" applyFill="1" applyBorder="1"/>
    <xf numFmtId="0" fontId="0" fillId="3" borderId="5" xfId="0" applyFill="1" applyBorder="1"/>
    <xf numFmtId="43" fontId="73" fillId="3" borderId="2" xfId="1" applyFont="1" applyFill="1" applyBorder="1"/>
    <xf numFmtId="0" fontId="83" fillId="3" borderId="5" xfId="0" applyFont="1" applyFill="1" applyBorder="1"/>
    <xf numFmtId="43" fontId="83" fillId="3" borderId="5" xfId="1" applyFont="1" applyFill="1" applyBorder="1"/>
    <xf numFmtId="43" fontId="83" fillId="3" borderId="2" xfId="1" applyFont="1" applyFill="1" applyBorder="1"/>
    <xf numFmtId="0" fontId="83" fillId="3" borderId="5" xfId="0" applyFont="1" applyFill="1" applyBorder="1" applyAlignment="1">
      <alignment horizontal="center"/>
    </xf>
    <xf numFmtId="43" fontId="83" fillId="3" borderId="5" xfId="0" applyNumberFormat="1" applyFont="1" applyFill="1" applyBorder="1"/>
    <xf numFmtId="14" fontId="62" fillId="3" borderId="1" xfId="0" applyNumberFormat="1" applyFont="1" applyFill="1" applyBorder="1" applyAlignment="1">
      <alignment horizontal="center"/>
    </xf>
    <xf numFmtId="0" fontId="62" fillId="3" borderId="5" xfId="0" applyFont="1" applyFill="1" applyBorder="1"/>
    <xf numFmtId="43" fontId="62" fillId="3" borderId="5" xfId="1" applyFont="1" applyFill="1" applyBorder="1"/>
    <xf numFmtId="43" fontId="71" fillId="3" borderId="2" xfId="1" applyFont="1" applyFill="1" applyBorder="1"/>
    <xf numFmtId="43" fontId="75" fillId="3" borderId="5" xfId="0" applyNumberFormat="1" applyFont="1" applyFill="1" applyBorder="1"/>
    <xf numFmtId="43" fontId="71" fillId="3" borderId="5" xfId="1" applyFont="1" applyFill="1" applyBorder="1"/>
    <xf numFmtId="0" fontId="71" fillId="3" borderId="5" xfId="0" applyFont="1" applyFill="1" applyBorder="1"/>
    <xf numFmtId="43" fontId="62" fillId="3" borderId="2" xfId="1" applyFont="1" applyFill="1" applyBorder="1"/>
    <xf numFmtId="0" fontId="58" fillId="0" borderId="5" xfId="0" applyFont="1" applyBorder="1" applyAlignment="1">
      <alignment horizontal="center"/>
    </xf>
    <xf numFmtId="0" fontId="58" fillId="0" borderId="5" xfId="0" applyFont="1" applyFill="1" applyBorder="1" applyAlignment="1">
      <alignment horizontal="center"/>
    </xf>
    <xf numFmtId="0" fontId="58" fillId="0" borderId="5" xfId="0" applyFont="1" applyBorder="1"/>
    <xf numFmtId="43" fontId="83" fillId="6" borderId="0" xfId="1" applyFont="1" applyFill="1"/>
    <xf numFmtId="0" fontId="57" fillId="0" borderId="0" xfId="0" applyFont="1"/>
    <xf numFmtId="14" fontId="0" fillId="0" borderId="1" xfId="0" applyNumberFormat="1" applyFill="1" applyBorder="1" applyAlignment="1">
      <alignment horizontal="center"/>
    </xf>
    <xf numFmtId="0" fontId="0" fillId="0" borderId="5" xfId="0" applyFill="1" applyBorder="1"/>
    <xf numFmtId="43" fontId="73" fillId="0" borderId="5" xfId="1" applyFont="1" applyFill="1" applyBorder="1"/>
    <xf numFmtId="43" fontId="73" fillId="0" borderId="2" xfId="1" applyFont="1" applyFill="1" applyBorder="1"/>
    <xf numFmtId="0" fontId="0" fillId="0" borderId="0" xfId="0" applyFill="1"/>
    <xf numFmtId="0" fontId="57" fillId="0" borderId="5" xfId="0" applyFont="1" applyBorder="1"/>
    <xf numFmtId="14" fontId="83" fillId="0" borderId="0" xfId="0" applyNumberFormat="1" applyFont="1" applyFill="1" applyBorder="1" applyAlignment="1">
      <alignment horizontal="center"/>
    </xf>
    <xf numFmtId="0" fontId="83" fillId="0" borderId="0" xfId="0" applyFont="1" applyFill="1" applyBorder="1"/>
    <xf numFmtId="43" fontId="83" fillId="0" borderId="0" xfId="1" applyFont="1" applyFill="1" applyBorder="1"/>
    <xf numFmtId="43" fontId="83" fillId="0" borderId="0" xfId="0" applyNumberFormat="1" applyFont="1" applyFill="1" applyBorder="1"/>
    <xf numFmtId="0" fontId="83" fillId="0" borderId="0" xfId="0" applyFont="1" applyFill="1" applyBorder="1" applyAlignment="1">
      <alignment horizontal="center"/>
    </xf>
    <xf numFmtId="0" fontId="0" fillId="0" borderId="0" xfId="0" applyFill="1" applyBorder="1"/>
    <xf numFmtId="0" fontId="56" fillId="3" borderId="5" xfId="0" applyFont="1" applyFill="1" applyBorder="1"/>
    <xf numFmtId="0" fontId="56" fillId="3" borderId="3" xfId="0" applyFont="1" applyFill="1" applyBorder="1" applyAlignment="1">
      <alignment horizontal="center"/>
    </xf>
    <xf numFmtId="0" fontId="83" fillId="6" borderId="2" xfId="0" applyFont="1" applyFill="1" applyBorder="1"/>
    <xf numFmtId="0" fontId="83" fillId="6" borderId="3" xfId="0" applyFont="1" applyFill="1" applyBorder="1" applyAlignment="1">
      <alignment horizontal="center"/>
    </xf>
    <xf numFmtId="0" fontId="56" fillId="3" borderId="5" xfId="0" applyFont="1" applyFill="1" applyBorder="1" applyAlignment="1">
      <alignment horizontal="left"/>
    </xf>
    <xf numFmtId="14" fontId="83" fillId="6" borderId="1" xfId="2" applyNumberFormat="1" applyFont="1" applyFill="1" applyBorder="1" applyAlignment="1">
      <alignment horizontal="center"/>
    </xf>
    <xf numFmtId="0" fontId="83" fillId="6" borderId="5" xfId="0" applyFont="1" applyFill="1" applyBorder="1" applyAlignment="1">
      <alignment horizontal="left"/>
    </xf>
    <xf numFmtId="0" fontId="83" fillId="6" borderId="5" xfId="2" applyFont="1" applyFill="1" applyBorder="1" applyAlignment="1">
      <alignment horizontal="center"/>
    </xf>
    <xf numFmtId="0" fontId="56" fillId="0" borderId="5" xfId="0" applyFont="1" applyBorder="1"/>
    <xf numFmtId="0" fontId="56" fillId="3" borderId="5" xfId="0" applyFont="1" applyFill="1" applyBorder="1" applyAlignment="1">
      <alignment horizontal="center"/>
    </xf>
    <xf numFmtId="14" fontId="56" fillId="3" borderId="1" xfId="0" applyNumberFormat="1" applyFont="1" applyFill="1" applyBorder="1" applyAlignment="1">
      <alignment horizontal="center"/>
    </xf>
    <xf numFmtId="43" fontId="71" fillId="3" borderId="0" xfId="1" applyFont="1" applyFill="1"/>
    <xf numFmtId="0" fontId="55" fillId="3" borderId="5" xfId="0" applyFont="1" applyFill="1" applyBorder="1"/>
    <xf numFmtId="43" fontId="83" fillId="6" borderId="0" xfId="1" applyFont="1" applyFill="1" applyBorder="1"/>
    <xf numFmtId="0" fontId="55" fillId="3" borderId="5" xfId="0" applyFont="1" applyFill="1" applyBorder="1" applyAlignment="1">
      <alignment horizontal="center"/>
    </xf>
    <xf numFmtId="14" fontId="55" fillId="3" borderId="1" xfId="0" applyNumberFormat="1" applyFont="1" applyFill="1" applyBorder="1" applyAlignment="1">
      <alignment horizontal="center"/>
    </xf>
    <xf numFmtId="43" fontId="55" fillId="3" borderId="5" xfId="1" applyFont="1" applyFill="1" applyBorder="1"/>
    <xf numFmtId="4" fontId="55" fillId="3" borderId="5" xfId="0" applyNumberFormat="1" applyFont="1" applyFill="1" applyBorder="1"/>
    <xf numFmtId="0" fontId="55" fillId="3" borderId="5" xfId="0" applyFont="1" applyFill="1" applyBorder="1" applyAlignment="1">
      <alignment wrapText="1"/>
    </xf>
    <xf numFmtId="0" fontId="54" fillId="3" borderId="5" xfId="0" applyFont="1" applyFill="1" applyBorder="1"/>
    <xf numFmtId="0" fontId="54" fillId="3" borderId="5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5" xfId="0" applyNumberFormat="1" applyBorder="1"/>
    <xf numFmtId="4" fontId="0" fillId="0" borderId="3" xfId="0" applyNumberFormat="1" applyBorder="1"/>
    <xf numFmtId="43" fontId="0" fillId="0" borderId="3" xfId="1" applyFont="1" applyBorder="1"/>
    <xf numFmtId="14" fontId="0" fillId="0" borderId="10" xfId="0" applyNumberFormat="1" applyBorder="1"/>
    <xf numFmtId="14" fontId="0" fillId="0" borderId="1" xfId="0" applyNumberFormat="1" applyBorder="1"/>
    <xf numFmtId="43" fontId="90" fillId="0" borderId="6" xfId="0" applyNumberFormat="1" applyFont="1" applyBorder="1"/>
    <xf numFmtId="0" fontId="0" fillId="0" borderId="0" xfId="0" applyAlignment="1">
      <alignment horizontal="left" indent="1"/>
    </xf>
    <xf numFmtId="0" fontId="0" fillId="0" borderId="3" xfId="0" applyFill="1" applyBorder="1"/>
    <xf numFmtId="0" fontId="53" fillId="3" borderId="5" xfId="0" applyFont="1" applyFill="1" applyBorder="1"/>
    <xf numFmtId="0" fontId="53" fillId="3" borderId="5" xfId="0" applyFont="1" applyFill="1" applyBorder="1" applyAlignment="1">
      <alignment horizontal="center"/>
    </xf>
    <xf numFmtId="14" fontId="53" fillId="3" borderId="1" xfId="0" applyNumberFormat="1" applyFont="1" applyFill="1" applyBorder="1" applyAlignment="1">
      <alignment horizontal="center"/>
    </xf>
    <xf numFmtId="43" fontId="53" fillId="3" borderId="5" xfId="1" applyFont="1" applyFill="1" applyBorder="1"/>
    <xf numFmtId="4" fontId="53" fillId="3" borderId="5" xfId="0" applyNumberFormat="1" applyFont="1" applyFill="1" applyBorder="1"/>
    <xf numFmtId="0" fontId="53" fillId="0" borderId="0" xfId="0" applyFont="1"/>
    <xf numFmtId="0" fontId="53" fillId="3" borderId="5" xfId="0" applyFont="1" applyFill="1" applyBorder="1" applyAlignment="1">
      <alignment wrapText="1"/>
    </xf>
    <xf numFmtId="14" fontId="52" fillId="3" borderId="1" xfId="0" applyNumberFormat="1" applyFont="1" applyFill="1" applyBorder="1" applyAlignment="1">
      <alignment horizontal="center"/>
    </xf>
    <xf numFmtId="0" fontId="52" fillId="3" borderId="5" xfId="0" applyFont="1" applyFill="1" applyBorder="1" applyAlignment="1">
      <alignment horizontal="center"/>
    </xf>
    <xf numFmtId="0" fontId="52" fillId="3" borderId="5" xfId="0" applyFont="1" applyFill="1" applyBorder="1"/>
    <xf numFmtId="0" fontId="51" fillId="3" borderId="5" xfId="0" applyFont="1" applyFill="1" applyBorder="1"/>
    <xf numFmtId="14" fontId="51" fillId="3" borderId="1" xfId="0" applyNumberFormat="1" applyFont="1" applyFill="1" applyBorder="1" applyAlignment="1">
      <alignment horizontal="center"/>
    </xf>
    <xf numFmtId="0" fontId="71" fillId="3" borderId="0" xfId="0" applyFont="1" applyFill="1"/>
    <xf numFmtId="0" fontId="51" fillId="3" borderId="5" xfId="0" applyFont="1" applyFill="1" applyBorder="1" applyAlignment="1">
      <alignment horizontal="center"/>
    </xf>
    <xf numFmtId="0" fontId="51" fillId="3" borderId="5" xfId="0" applyFont="1" applyFill="1" applyBorder="1" applyAlignment="1">
      <alignment wrapText="1"/>
    </xf>
    <xf numFmtId="43" fontId="87" fillId="0" borderId="5" xfId="1" applyFont="1" applyBorder="1"/>
    <xf numFmtId="0" fontId="89" fillId="0" borderId="5" xfId="0" applyFont="1" applyBorder="1"/>
    <xf numFmtId="14" fontId="50" fillId="3" borderId="1" xfId="0" applyNumberFormat="1" applyFont="1" applyFill="1" applyBorder="1" applyAlignment="1">
      <alignment horizontal="center"/>
    </xf>
    <xf numFmtId="0" fontId="50" fillId="3" borderId="5" xfId="0" applyFont="1" applyFill="1" applyBorder="1"/>
    <xf numFmtId="0" fontId="50" fillId="3" borderId="5" xfId="0" applyFont="1" applyFill="1" applyBorder="1" applyAlignment="1">
      <alignment horizontal="center"/>
    </xf>
    <xf numFmtId="0" fontId="49" fillId="3" borderId="5" xfId="0" applyFont="1" applyFill="1" applyBorder="1"/>
    <xf numFmtId="0" fontId="49" fillId="3" borderId="5" xfId="0" applyFont="1" applyFill="1" applyBorder="1" applyAlignment="1">
      <alignment horizontal="center"/>
    </xf>
    <xf numFmtId="14" fontId="48" fillId="0" borderId="1" xfId="0" applyNumberFormat="1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5" xfId="0" applyFont="1" applyBorder="1"/>
    <xf numFmtId="0" fontId="48" fillId="0" borderId="5" xfId="0" applyFont="1" applyBorder="1" applyAlignment="1">
      <alignment wrapText="1"/>
    </xf>
    <xf numFmtId="0" fontId="47" fillId="0" borderId="5" xfId="0" applyFont="1" applyBorder="1"/>
    <xf numFmtId="0" fontId="47" fillId="0" borderId="5" xfId="0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0" fontId="47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0" fontId="46" fillId="0" borderId="5" xfId="0" applyFont="1" applyBorder="1"/>
    <xf numFmtId="0" fontId="46" fillId="3" borderId="5" xfId="0" applyFont="1" applyFill="1" applyBorder="1"/>
    <xf numFmtId="0" fontId="46" fillId="0" borderId="5" xfId="0" applyFont="1" applyBorder="1" applyAlignment="1">
      <alignment wrapText="1"/>
    </xf>
    <xf numFmtId="0" fontId="45" fillId="0" borderId="5" xfId="0" applyFont="1" applyBorder="1"/>
    <xf numFmtId="0" fontId="45" fillId="0" borderId="3" xfId="0" applyFont="1" applyBorder="1"/>
    <xf numFmtId="0" fontId="0" fillId="0" borderId="13" xfId="0" applyFill="1" applyBorder="1"/>
    <xf numFmtId="0" fontId="45" fillId="3" borderId="5" xfId="0" applyFont="1" applyFill="1" applyBorder="1" applyAlignment="1">
      <alignment wrapText="1"/>
    </xf>
    <xf numFmtId="0" fontId="45" fillId="3" borderId="5" xfId="0" applyFont="1" applyFill="1" applyBorder="1" applyAlignment="1">
      <alignment horizontal="center"/>
    </xf>
    <xf numFmtId="0" fontId="45" fillId="0" borderId="5" xfId="0" applyFont="1" applyBorder="1" applyAlignment="1">
      <alignment wrapText="1"/>
    </xf>
    <xf numFmtId="0" fontId="44" fillId="0" borderId="5" xfId="0" applyFont="1" applyBorder="1"/>
    <xf numFmtId="0" fontId="44" fillId="0" borderId="5" xfId="0" applyFont="1" applyBorder="1" applyAlignment="1">
      <alignment horizontal="center"/>
    </xf>
    <xf numFmtId="43" fontId="83" fillId="6" borderId="0" xfId="1" applyNumberFormat="1" applyFont="1" applyFill="1" applyBorder="1"/>
    <xf numFmtId="0" fontId="43" fillId="0" borderId="5" xfId="0" applyFont="1" applyBorder="1"/>
    <xf numFmtId="0" fontId="43" fillId="0" borderId="5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43" fillId="0" borderId="2" xfId="0" applyFont="1" applyBorder="1"/>
    <xf numFmtId="0" fontId="42" fillId="0" borderId="5" xfId="0" applyFont="1" applyBorder="1"/>
    <xf numFmtId="0" fontId="42" fillId="0" borderId="5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5" xfId="0" applyFont="1" applyBorder="1"/>
    <xf numFmtId="43" fontId="71" fillId="0" borderId="5" xfId="0" applyNumberFormat="1" applyFont="1" applyBorder="1"/>
    <xf numFmtId="14" fontId="40" fillId="0" borderId="1" xfId="0" applyNumberFormat="1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0" fillId="0" borderId="5" xfId="0" applyFont="1" applyBorder="1"/>
    <xf numFmtId="0" fontId="91" fillId="0" borderId="5" xfId="0" applyFont="1" applyBorder="1" applyAlignment="1">
      <alignment horizontal="right"/>
    </xf>
    <xf numFmtId="43" fontId="80" fillId="0" borderId="2" xfId="1" applyFont="1" applyBorder="1"/>
    <xf numFmtId="43" fontId="92" fillId="0" borderId="2" xfId="1" applyFont="1" applyBorder="1"/>
    <xf numFmtId="43" fontId="92" fillId="0" borderId="5" xfId="1" applyFont="1" applyBorder="1"/>
    <xf numFmtId="0" fontId="0" fillId="3" borderId="0" xfId="0" applyFill="1"/>
    <xf numFmtId="0" fontId="82" fillId="4" borderId="2" xfId="0" applyFont="1" applyFill="1" applyBorder="1"/>
    <xf numFmtId="0" fontId="82" fillId="4" borderId="3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14" fontId="82" fillId="4" borderId="1" xfId="2" applyNumberFormat="1" applyFont="1" applyFill="1" applyBorder="1" applyAlignment="1">
      <alignment horizontal="center"/>
    </xf>
    <xf numFmtId="0" fontId="82" fillId="4" borderId="5" xfId="2" applyFont="1" applyFill="1" applyBorder="1" applyAlignment="1">
      <alignment horizontal="center"/>
    </xf>
    <xf numFmtId="0" fontId="39" fillId="3" borderId="5" xfId="0" applyFont="1" applyFill="1" applyBorder="1"/>
    <xf numFmtId="14" fontId="39" fillId="3" borderId="1" xfId="0" applyNumberFormat="1" applyFont="1" applyFill="1" applyBorder="1" applyAlignment="1">
      <alignment horizontal="center"/>
    </xf>
    <xf numFmtId="43" fontId="82" fillId="4" borderId="0" xfId="1" applyFont="1" applyFill="1"/>
    <xf numFmtId="43" fontId="82" fillId="4" borderId="0" xfId="1" applyFont="1" applyFill="1" applyBorder="1"/>
    <xf numFmtId="0" fontId="38" fillId="3" borderId="5" xfId="0" applyFont="1" applyFill="1" applyBorder="1" applyAlignment="1">
      <alignment horizontal="center"/>
    </xf>
    <xf numFmtId="14" fontId="38" fillId="3" borderId="1" xfId="0" applyNumberFormat="1" applyFont="1" applyFill="1" applyBorder="1" applyAlignment="1">
      <alignment horizontal="center"/>
    </xf>
    <xf numFmtId="0" fontId="38" fillId="3" borderId="5" xfId="0" applyFont="1" applyFill="1" applyBorder="1"/>
    <xf numFmtId="43" fontId="38" fillId="3" borderId="5" xfId="1" applyFont="1" applyFill="1" applyBorder="1"/>
    <xf numFmtId="43" fontId="71" fillId="3" borderId="13" xfId="1" applyFont="1" applyFill="1" applyBorder="1"/>
    <xf numFmtId="0" fontId="38" fillId="3" borderId="5" xfId="0" applyFont="1" applyFill="1" applyBorder="1" applyAlignment="1">
      <alignment wrapText="1"/>
    </xf>
    <xf numFmtId="0" fontId="37" fillId="3" borderId="5" xfId="0" applyFont="1" applyFill="1" applyBorder="1" applyAlignment="1">
      <alignment horizontal="center"/>
    </xf>
    <xf numFmtId="0" fontId="37" fillId="3" borderId="5" xfId="0" applyFont="1" applyFill="1" applyBorder="1"/>
    <xf numFmtId="0" fontId="36" fillId="3" borderId="5" xfId="0" applyFont="1" applyFill="1" applyBorder="1"/>
    <xf numFmtId="0" fontId="36" fillId="3" borderId="5" xfId="0" applyFont="1" applyFill="1" applyBorder="1" applyAlignment="1">
      <alignment horizontal="center"/>
    </xf>
    <xf numFmtId="0" fontId="36" fillId="3" borderId="5" xfId="0" applyFont="1" applyFill="1" applyBorder="1" applyAlignment="1">
      <alignment wrapText="1"/>
    </xf>
    <xf numFmtId="0" fontId="82" fillId="4" borderId="5" xfId="0" applyFont="1" applyFill="1" applyBorder="1" applyAlignment="1">
      <alignment wrapText="1"/>
    </xf>
    <xf numFmtId="0" fontId="35" fillId="3" borderId="5" xfId="0" applyFont="1" applyFill="1" applyBorder="1"/>
    <xf numFmtId="0" fontId="35" fillId="3" borderId="5" xfId="0" applyFont="1" applyFill="1" applyBorder="1" applyAlignment="1">
      <alignment horizontal="center"/>
    </xf>
    <xf numFmtId="4" fontId="82" fillId="4" borderId="5" xfId="0" applyNumberFormat="1" applyFont="1" applyFill="1" applyBorder="1"/>
    <xf numFmtId="0" fontId="34" fillId="3" borderId="5" xfId="0" applyFont="1" applyFill="1" applyBorder="1"/>
    <xf numFmtId="0" fontId="34" fillId="3" borderId="5" xfId="0" applyFont="1" applyFill="1" applyBorder="1" applyAlignment="1">
      <alignment horizontal="center"/>
    </xf>
    <xf numFmtId="0" fontId="34" fillId="3" borderId="5" xfId="0" applyFont="1" applyFill="1" applyBorder="1" applyAlignment="1">
      <alignment wrapText="1"/>
    </xf>
    <xf numFmtId="0" fontId="33" fillId="3" borderId="5" xfId="0" applyFont="1" applyFill="1" applyBorder="1" applyAlignment="1">
      <alignment horizontal="center"/>
    </xf>
    <xf numFmtId="0" fontId="33" fillId="3" borderId="5" xfId="0" applyFont="1" applyFill="1" applyBorder="1"/>
    <xf numFmtId="0" fontId="33" fillId="3" borderId="5" xfId="0" applyFont="1" applyFill="1" applyBorder="1" applyAlignment="1">
      <alignment wrapText="1"/>
    </xf>
    <xf numFmtId="0" fontId="32" fillId="3" borderId="5" xfId="0" applyFont="1" applyFill="1" applyBorder="1" applyAlignment="1">
      <alignment horizontal="center"/>
    </xf>
    <xf numFmtId="0" fontId="32" fillId="3" borderId="5" xfId="0" applyFont="1" applyFill="1" applyBorder="1"/>
    <xf numFmtId="0" fontId="32" fillId="3" borderId="5" xfId="0" applyFont="1" applyFill="1" applyBorder="1" applyAlignment="1">
      <alignment wrapText="1"/>
    </xf>
    <xf numFmtId="0" fontId="32" fillId="0" borderId="10" xfId="0" applyFont="1" applyBorder="1"/>
    <xf numFmtId="0" fontId="32" fillId="0" borderId="4" xfId="0" applyFont="1" applyBorder="1"/>
    <xf numFmtId="0" fontId="32" fillId="0" borderId="5" xfId="0" applyFont="1" applyBorder="1"/>
    <xf numFmtId="0" fontId="32" fillId="0" borderId="1" xfId="0" applyFont="1" applyBorder="1"/>
    <xf numFmtId="0" fontId="37" fillId="3" borderId="5" xfId="0" applyFont="1" applyFill="1" applyBorder="1" applyAlignment="1">
      <alignment wrapText="1"/>
    </xf>
    <xf numFmtId="0" fontId="31" fillId="3" borderId="5" xfId="0" applyFont="1" applyFill="1" applyBorder="1"/>
    <xf numFmtId="0" fontId="31" fillId="3" borderId="5" xfId="0" applyFont="1" applyFill="1" applyBorder="1" applyAlignment="1">
      <alignment horizontal="center"/>
    </xf>
    <xf numFmtId="43" fontId="0" fillId="0" borderId="0" xfId="1" applyFont="1" applyFill="1" applyBorder="1"/>
    <xf numFmtId="0" fontId="36" fillId="0" borderId="0" xfId="0" applyFont="1" applyFill="1" applyBorder="1"/>
    <xf numFmtId="43" fontId="0" fillId="0" borderId="0" xfId="0" applyNumberFormat="1" applyFill="1" applyBorder="1"/>
    <xf numFmtId="0" fontId="30" fillId="3" borderId="5" xfId="0" applyFont="1" applyFill="1" applyBorder="1" applyAlignment="1">
      <alignment horizontal="center"/>
    </xf>
    <xf numFmtId="0" fontId="30" fillId="3" borderId="5" xfId="0" applyFont="1" applyFill="1" applyBorder="1"/>
    <xf numFmtId="0" fontId="30" fillId="3" borderId="5" xfId="0" applyFont="1" applyFill="1" applyBorder="1" applyAlignment="1">
      <alignment wrapText="1"/>
    </xf>
    <xf numFmtId="0" fontId="29" fillId="3" borderId="5" xfId="0" applyFont="1" applyFill="1" applyBorder="1" applyAlignment="1">
      <alignment wrapText="1"/>
    </xf>
    <xf numFmtId="0" fontId="29" fillId="0" borderId="0" xfId="0" applyFont="1"/>
    <xf numFmtId="0" fontId="28" fillId="3" borderId="5" xfId="0" applyFont="1" applyFill="1" applyBorder="1" applyAlignment="1">
      <alignment horizontal="center"/>
    </xf>
    <xf numFmtId="0" fontId="28" fillId="3" borderId="5" xfId="0" applyFont="1" applyFill="1" applyBorder="1"/>
    <xf numFmtId="14" fontId="28" fillId="3" borderId="1" xfId="0" applyNumberFormat="1" applyFont="1" applyFill="1" applyBorder="1" applyAlignment="1">
      <alignment horizontal="center"/>
    </xf>
    <xf numFmtId="0" fontId="27" fillId="3" borderId="5" xfId="0" applyFont="1" applyFill="1" applyBorder="1"/>
    <xf numFmtId="0" fontId="27" fillId="3" borderId="5" xfId="0" applyFont="1" applyFill="1" applyBorder="1" applyAlignment="1">
      <alignment wrapText="1"/>
    </xf>
    <xf numFmtId="0" fontId="27" fillId="3" borderId="5" xfId="0" applyFont="1" applyFill="1" applyBorder="1" applyAlignment="1">
      <alignment horizontal="center"/>
    </xf>
    <xf numFmtId="0" fontId="26" fillId="0" borderId="5" xfId="0" applyFont="1" applyBorder="1"/>
    <xf numFmtId="0" fontId="25" fillId="3" borderId="5" xfId="0" applyFont="1" applyFill="1" applyBorder="1" applyAlignment="1">
      <alignment horizontal="center"/>
    </xf>
    <xf numFmtId="14" fontId="24" fillId="3" borderId="1" xfId="0" applyNumberFormat="1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0" borderId="5" xfId="0" applyFont="1" applyBorder="1"/>
    <xf numFmtId="0" fontId="24" fillId="0" borderId="3" xfId="0" applyFont="1" applyBorder="1"/>
    <xf numFmtId="0" fontId="24" fillId="0" borderId="3" xfId="0" applyFont="1" applyFill="1" applyBorder="1"/>
    <xf numFmtId="0" fontId="23" fillId="3" borderId="5" xfId="0" applyFont="1" applyFill="1" applyBorder="1" applyAlignment="1">
      <alignment wrapText="1"/>
    </xf>
    <xf numFmtId="0" fontId="23" fillId="0" borderId="0" xfId="0" applyFont="1"/>
    <xf numFmtId="0" fontId="22" fillId="3" borderId="5" xfId="0" applyFont="1" applyFill="1" applyBorder="1"/>
    <xf numFmtId="0" fontId="22" fillId="3" borderId="5" xfId="0" applyFont="1" applyFill="1" applyBorder="1" applyAlignment="1">
      <alignment wrapText="1"/>
    </xf>
    <xf numFmtId="0" fontId="22" fillId="3" borderId="5" xfId="0" applyFont="1" applyFill="1" applyBorder="1" applyAlignment="1">
      <alignment horizontal="center"/>
    </xf>
    <xf numFmtId="14" fontId="22" fillId="3" borderId="1" xfId="0" applyNumberFormat="1" applyFont="1" applyFill="1" applyBorder="1" applyAlignment="1">
      <alignment horizontal="center"/>
    </xf>
    <xf numFmtId="0" fontId="21" fillId="3" borderId="5" xfId="0" applyFont="1" applyFill="1" applyBorder="1"/>
    <xf numFmtId="0" fontId="21" fillId="3" borderId="5" xfId="0" applyFont="1" applyFill="1" applyBorder="1" applyAlignment="1">
      <alignment horizontal="center"/>
    </xf>
    <xf numFmtId="0" fontId="21" fillId="3" borderId="5" xfId="0" applyFont="1" applyFill="1" applyBorder="1" applyAlignment="1">
      <alignment wrapText="1"/>
    </xf>
    <xf numFmtId="0" fontId="20" fillId="3" borderId="5" xfId="0" applyFont="1" applyFill="1" applyBorder="1"/>
    <xf numFmtId="0" fontId="20" fillId="3" borderId="5" xfId="0" applyFont="1" applyFill="1" applyBorder="1" applyAlignment="1">
      <alignment wrapText="1"/>
    </xf>
    <xf numFmtId="0" fontId="20" fillId="3" borderId="5" xfId="0" applyFon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43" fontId="73" fillId="3" borderId="10" xfId="1" applyFont="1" applyFill="1" applyBorder="1"/>
    <xf numFmtId="43" fontId="73" fillId="3" borderId="11" xfId="1" applyFont="1" applyFill="1" applyBorder="1"/>
    <xf numFmtId="43" fontId="85" fillId="3" borderId="10" xfId="0" applyNumberFormat="1" applyFont="1" applyFill="1" applyBorder="1"/>
    <xf numFmtId="0" fontId="20" fillId="3" borderId="10" xfId="0" applyFont="1" applyFill="1" applyBorder="1"/>
    <xf numFmtId="0" fontId="20" fillId="3" borderId="1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55" fillId="0" borderId="0" xfId="0" applyFont="1" applyFill="1" applyBorder="1"/>
    <xf numFmtId="43" fontId="73" fillId="0" borderId="0" xfId="1" applyFont="1" applyFill="1" applyBorder="1"/>
    <xf numFmtId="43" fontId="85" fillId="0" borderId="0" xfId="0" applyNumberFormat="1" applyFont="1" applyFill="1" applyBorder="1"/>
    <xf numFmtId="0" fontId="55" fillId="0" borderId="0" xfId="0" applyFont="1" applyFill="1" applyBorder="1" applyAlignment="1">
      <alignment horizontal="center"/>
    </xf>
    <xf numFmtId="0" fontId="55" fillId="0" borderId="2" xfId="0" applyFont="1" applyFill="1" applyBorder="1"/>
    <xf numFmtId="0" fontId="55" fillId="0" borderId="3" xfId="0" applyFont="1" applyFill="1" applyBorder="1" applyAlignment="1">
      <alignment horizontal="center"/>
    </xf>
    <xf numFmtId="43" fontId="93" fillId="0" borderId="5" xfId="1" applyFont="1" applyFill="1" applyBorder="1"/>
    <xf numFmtId="43" fontId="91" fillId="3" borderId="5" xfId="1" applyFont="1" applyFill="1" applyBorder="1"/>
    <xf numFmtId="43" fontId="91" fillId="3" borderId="5" xfId="0" applyNumberFormat="1" applyFont="1" applyFill="1" applyBorder="1"/>
    <xf numFmtId="43" fontId="94" fillId="0" borderId="5" xfId="0" applyNumberFormat="1" applyFont="1" applyFill="1" applyBorder="1"/>
    <xf numFmtId="0" fontId="19" fillId="3" borderId="5" xfId="0" applyFont="1" applyFill="1" applyBorder="1"/>
    <xf numFmtId="0" fontId="19" fillId="3" borderId="5" xfId="0" applyFont="1" applyFill="1" applyBorder="1" applyAlignment="1">
      <alignment wrapText="1"/>
    </xf>
    <xf numFmtId="0" fontId="20" fillId="3" borderId="12" xfId="0" applyFont="1" applyFill="1" applyBorder="1" applyAlignment="1">
      <alignment horizontal="center"/>
    </xf>
    <xf numFmtId="0" fontId="18" fillId="3" borderId="5" xfId="0" applyFont="1" applyFill="1" applyBorder="1"/>
    <xf numFmtId="43" fontId="82" fillId="3" borderId="5" xfId="1" applyFont="1" applyFill="1" applyBorder="1"/>
    <xf numFmtId="0" fontId="82" fillId="3" borderId="2" xfId="0" applyFont="1" applyFill="1" applyBorder="1"/>
    <xf numFmtId="14" fontId="18" fillId="3" borderId="1" xfId="0" applyNumberFormat="1" applyFont="1" applyFill="1" applyBorder="1" applyAlignment="1">
      <alignment horizontal="center"/>
    </xf>
    <xf numFmtId="0" fontId="18" fillId="3" borderId="5" xfId="2" applyFont="1" applyFill="1" applyBorder="1" applyAlignment="1">
      <alignment horizontal="center"/>
    </xf>
    <xf numFmtId="0" fontId="18" fillId="3" borderId="5" xfId="0" applyFont="1" applyFill="1" applyBorder="1" applyAlignment="1">
      <alignment wrapText="1"/>
    </xf>
    <xf numFmtId="0" fontId="18" fillId="3" borderId="3" xfId="0" applyFont="1" applyFill="1" applyBorder="1" applyAlignment="1">
      <alignment horizontal="center"/>
    </xf>
    <xf numFmtId="43" fontId="18" fillId="3" borderId="5" xfId="1" applyFont="1" applyFill="1" applyBorder="1"/>
    <xf numFmtId="43" fontId="18" fillId="3" borderId="2" xfId="1" applyFont="1" applyFill="1" applyBorder="1"/>
    <xf numFmtId="43" fontId="82" fillId="3" borderId="2" xfId="1" applyFont="1" applyFill="1" applyBorder="1"/>
    <xf numFmtId="43" fontId="71" fillId="3" borderId="0" xfId="1" applyFont="1" applyFill="1" applyBorder="1"/>
    <xf numFmtId="0" fontId="17" fillId="3" borderId="3" xfId="0" applyFont="1" applyFill="1" applyBorder="1" applyAlignment="1">
      <alignment horizontal="center"/>
    </xf>
    <xf numFmtId="0" fontId="17" fillId="3" borderId="5" xfId="0" applyFont="1" applyFill="1" applyBorder="1"/>
    <xf numFmtId="0" fontId="17" fillId="3" borderId="5" xfId="0" applyFont="1" applyFill="1" applyBorder="1" applyAlignment="1">
      <alignment horizontal="center"/>
    </xf>
    <xf numFmtId="14" fontId="17" fillId="3" borderId="1" xfId="0" applyNumberFormat="1" applyFont="1" applyFill="1" applyBorder="1" applyAlignment="1">
      <alignment horizontal="center"/>
    </xf>
    <xf numFmtId="0" fontId="16" fillId="3" borderId="5" xfId="0" applyFont="1" applyFill="1" applyBorder="1"/>
    <xf numFmtId="0" fontId="16" fillId="3" borderId="5" xfId="0" applyFont="1" applyFill="1" applyBorder="1" applyAlignment="1">
      <alignment wrapText="1"/>
    </xf>
    <xf numFmtId="0" fontId="16" fillId="3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5" xfId="0" applyFont="1" applyFill="1" applyBorder="1"/>
    <xf numFmtId="0" fontId="15" fillId="3" borderId="5" xfId="0" applyFont="1" applyFill="1" applyBorder="1" applyAlignment="1">
      <alignment wrapText="1"/>
    </xf>
    <xf numFmtId="14" fontId="15" fillId="3" borderId="1" xfId="0" applyNumberFormat="1" applyFont="1" applyFill="1" applyBorder="1" applyAlignment="1">
      <alignment horizontal="center"/>
    </xf>
    <xf numFmtId="43" fontId="71" fillId="0" borderId="3" xfId="0" applyNumberFormat="1" applyFont="1" applyBorder="1"/>
    <xf numFmtId="43" fontId="82" fillId="4" borderId="5" xfId="1" applyFont="1" applyFill="1" applyBorder="1" applyAlignment="1">
      <alignment wrapText="1"/>
    </xf>
    <xf numFmtId="0" fontId="14" fillId="3" borderId="5" xfId="0" applyFont="1" applyFill="1" applyBorder="1" applyAlignment="1">
      <alignment horizontal="center"/>
    </xf>
    <xf numFmtId="0" fontId="14" fillId="3" borderId="5" xfId="0" applyFont="1" applyFill="1" applyBorder="1"/>
    <xf numFmtId="43" fontId="71" fillId="3" borderId="5" xfId="1" applyFont="1" applyFill="1" applyBorder="1" applyAlignment="1"/>
    <xf numFmtId="14" fontId="14" fillId="3" borderId="1" xfId="0" applyNumberFormat="1" applyFont="1" applyFill="1" applyBorder="1" applyAlignment="1">
      <alignment horizontal="left" wrapText="1"/>
    </xf>
    <xf numFmtId="0" fontId="13" fillId="3" borderId="5" xfId="0" applyFont="1" applyFill="1" applyBorder="1"/>
    <xf numFmtId="0" fontId="13" fillId="3" borderId="5" xfId="0" applyFon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0" fontId="13" fillId="3" borderId="5" xfId="0" applyFont="1" applyFill="1" applyBorder="1" applyAlignment="1">
      <alignment wrapText="1"/>
    </xf>
    <xf numFmtId="0" fontId="12" fillId="3" borderId="5" xfId="0" applyFont="1" applyFill="1" applyBorder="1"/>
    <xf numFmtId="43" fontId="71" fillId="3" borderId="11" xfId="1" applyFont="1" applyFill="1" applyBorder="1"/>
    <xf numFmtId="43" fontId="71" fillId="3" borderId="8" xfId="1" applyFont="1" applyFill="1" applyBorder="1"/>
    <xf numFmtId="0" fontId="12" fillId="3" borderId="5" xfId="0" applyFont="1" applyFill="1" applyBorder="1" applyAlignment="1">
      <alignment horizontal="center"/>
    </xf>
    <xf numFmtId="43" fontId="82" fillId="4" borderId="3" xfId="1" applyFont="1" applyFill="1" applyBorder="1"/>
    <xf numFmtId="14" fontId="12" fillId="3" borderId="1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/>
    <xf numFmtId="0" fontId="11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wrapText="1"/>
    </xf>
    <xf numFmtId="0" fontId="9" fillId="3" borderId="5" xfId="0" applyFont="1" applyFill="1" applyBorder="1"/>
    <xf numFmtId="0" fontId="9" fillId="3" borderId="5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Fill="1" applyBorder="1"/>
    <xf numFmtId="0" fontId="9" fillId="3" borderId="3" xfId="0" applyFont="1" applyFill="1" applyBorder="1" applyAlignment="1">
      <alignment horizontal="center"/>
    </xf>
    <xf numFmtId="0" fontId="9" fillId="0" borderId="1" xfId="0" applyFont="1" applyBorder="1"/>
    <xf numFmtId="0" fontId="9" fillId="0" borderId="5" xfId="0" applyFont="1" applyBorder="1"/>
    <xf numFmtId="0" fontId="9" fillId="0" borderId="2" xfId="0" applyFont="1" applyBorder="1"/>
    <xf numFmtId="0" fontId="9" fillId="3" borderId="5" xfId="0" applyFont="1" applyFill="1" applyBorder="1" applyAlignment="1">
      <alignment wrapText="1"/>
    </xf>
    <xf numFmtId="0" fontId="8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wrapText="1"/>
    </xf>
    <xf numFmtId="14" fontId="7" fillId="3" borderId="1" xfId="0" applyNumberFormat="1" applyFont="1" applyFill="1" applyBorder="1" applyAlignment="1">
      <alignment horizontal="center"/>
    </xf>
    <xf numFmtId="43" fontId="7" fillId="3" borderId="5" xfId="1" applyFont="1" applyFill="1" applyBorder="1" applyAlignment="1">
      <alignment wrapText="1"/>
    </xf>
    <xf numFmtId="14" fontId="55" fillId="0" borderId="0" xfId="0" applyNumberFormat="1" applyFont="1" applyFill="1" applyBorder="1" applyAlignment="1">
      <alignment horizontal="center"/>
    </xf>
    <xf numFmtId="0" fontId="39" fillId="0" borderId="0" xfId="0" applyFont="1" applyFill="1" applyBorder="1"/>
    <xf numFmtId="43" fontId="71" fillId="0" borderId="0" xfId="1" applyFont="1" applyFill="1" applyBorder="1"/>
    <xf numFmtId="0" fontId="69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6" fillId="0" borderId="3" xfId="0" applyFont="1" applyBorder="1"/>
    <xf numFmtId="0" fontId="6" fillId="0" borderId="3" xfId="0" applyFont="1" applyFill="1" applyBorder="1"/>
    <xf numFmtId="0" fontId="82" fillId="4" borderId="5" xfId="0" applyFont="1" applyFill="1" applyBorder="1" applyAlignment="1">
      <alignment horizontal="left"/>
    </xf>
    <xf numFmtId="0" fontId="6" fillId="0" borderId="5" xfId="0" applyFont="1" applyBorder="1"/>
    <xf numFmtId="43" fontId="82" fillId="4" borderId="0" xfId="1" applyNumberFormat="1" applyFont="1" applyFill="1" applyBorder="1"/>
    <xf numFmtId="0" fontId="6" fillId="3" borderId="5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4" fillId="3" borderId="5" xfId="2" applyFont="1" applyFill="1" applyBorder="1" applyAlignment="1">
      <alignment horizontal="center"/>
    </xf>
    <xf numFmtId="0" fontId="82" fillId="3" borderId="5" xfId="0" applyFont="1" applyFill="1" applyBorder="1"/>
    <xf numFmtId="14" fontId="4" fillId="3" borderId="1" xfId="0" applyNumberFormat="1" applyFont="1" applyFill="1" applyBorder="1" applyAlignment="1">
      <alignment horizontal="center"/>
    </xf>
    <xf numFmtId="0" fontId="4" fillId="3" borderId="5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0" fillId="7" borderId="0" xfId="0" applyFill="1"/>
    <xf numFmtId="14" fontId="55" fillId="7" borderId="1" xfId="0" applyNumberFormat="1" applyFont="1" applyFill="1" applyBorder="1" applyAlignment="1">
      <alignment horizontal="center"/>
    </xf>
    <xf numFmtId="43" fontId="71" fillId="7" borderId="5" xfId="1" applyFont="1" applyFill="1" applyBorder="1"/>
    <xf numFmtId="43" fontId="71" fillId="7" borderId="2" xfId="1" applyFont="1" applyFill="1" applyBorder="1"/>
    <xf numFmtId="0" fontId="69" fillId="7" borderId="5" xfId="0" applyFont="1" applyFill="1" applyBorder="1"/>
    <xf numFmtId="43" fontId="75" fillId="7" borderId="5" xfId="0" applyNumberFormat="1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/>
    <xf numFmtId="0" fontId="0" fillId="4" borderId="0" xfId="0" applyFill="1"/>
    <xf numFmtId="0" fontId="0" fillId="4" borderId="5" xfId="0" applyFill="1" applyBorder="1"/>
    <xf numFmtId="43" fontId="89" fillId="3" borderId="5" xfId="1" applyFont="1" applyFill="1" applyBorder="1"/>
    <xf numFmtId="43" fontId="89" fillId="3" borderId="5" xfId="0" applyNumberFormat="1" applyFont="1" applyFill="1" applyBorder="1"/>
    <xf numFmtId="43" fontId="89" fillId="3" borderId="3" xfId="1" applyFont="1" applyFill="1" applyBorder="1"/>
    <xf numFmtId="14" fontId="82" fillId="4" borderId="9" xfId="0" applyNumberFormat="1" applyFont="1" applyFill="1" applyBorder="1" applyAlignment="1">
      <alignment horizontal="center"/>
    </xf>
    <xf numFmtId="0" fontId="82" fillId="4" borderId="10" xfId="0" applyFont="1" applyFill="1" applyBorder="1"/>
    <xf numFmtId="0" fontId="91" fillId="3" borderId="3" xfId="0" applyFont="1" applyFill="1" applyBorder="1"/>
    <xf numFmtId="0" fontId="0" fillId="4" borderId="2" xfId="0" applyFill="1" applyBorder="1"/>
    <xf numFmtId="0" fontId="3" fillId="0" borderId="5" xfId="0" applyFont="1" applyBorder="1"/>
    <xf numFmtId="0" fontId="3" fillId="0" borderId="1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5" xfId="0" applyFont="1" applyBorder="1"/>
    <xf numFmtId="0" fontId="1" fillId="0" borderId="5" xfId="0" applyFont="1" applyBorder="1"/>
  </cellXfs>
  <cellStyles count="3">
    <cellStyle name="Millares" xfId="1" builtinId="3"/>
    <cellStyle name="Neutral" xfId="2" builtinId="28"/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0</xdr:row>
      <xdr:rowOff>47625</xdr:rowOff>
    </xdr:from>
    <xdr:to>
      <xdr:col>18</xdr:col>
      <xdr:colOff>38100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stin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28575</xdr:colOff>
      <xdr:row>0</xdr:row>
      <xdr:rowOff>38100</xdr:rowOff>
    </xdr:from>
    <xdr:to>
      <xdr:col>30</xdr:col>
      <xdr:colOff>257175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cep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6725" y="38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85725</xdr:colOff>
      <xdr:row>0</xdr:row>
      <xdr:rowOff>0</xdr:rowOff>
    </xdr:from>
    <xdr:to>
      <xdr:col>24</xdr:col>
      <xdr:colOff>180975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1</xdr:row>
      <xdr:rowOff>9525</xdr:rowOff>
    </xdr:from>
    <xdr:to>
      <xdr:col>2</xdr:col>
      <xdr:colOff>180976</xdr:colOff>
      <xdr:row>1</xdr:row>
      <xdr:rowOff>553397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209550"/>
          <a:ext cx="895350" cy="5438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4</xdr:row>
      <xdr:rowOff>13973</xdr:rowOff>
    </xdr:from>
    <xdr:to>
      <xdr:col>2</xdr:col>
      <xdr:colOff>800101</xdr:colOff>
      <xdr:row>4</xdr:row>
      <xdr:rowOff>847139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66395"/>
          <a:ext cx="1371600" cy="833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647701</xdr:colOff>
      <xdr:row>1</xdr:row>
      <xdr:rowOff>885239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33045"/>
          <a:ext cx="1343025" cy="852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619126</xdr:colOff>
      <xdr:row>1</xdr:row>
      <xdr:rowOff>923339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33045"/>
          <a:ext cx="1343025" cy="890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590551</xdr:colOff>
      <xdr:row>1</xdr:row>
      <xdr:rowOff>923925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6" y="233048"/>
          <a:ext cx="1314450" cy="890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409575</xdr:colOff>
      <xdr:row>1</xdr:row>
      <xdr:rowOff>894705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219199" cy="8616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590550</xdr:colOff>
      <xdr:row>1</xdr:row>
      <xdr:rowOff>932805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304924" cy="8997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628650</xdr:colOff>
      <xdr:row>1</xdr:row>
      <xdr:rowOff>970905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33048"/>
          <a:ext cx="1304924" cy="8997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OHALY" refreshedDate="46211.498751157407" createdVersion="6" refreshedVersion="6" minRefreshableVersion="3" recordCount="145">
  <cacheSource type="worksheet">
    <worksheetSource ref="A2:J147" sheet="General"/>
  </cacheSource>
  <cacheFields count="11">
    <cacheField name="Fecha" numFmtId="14">
      <sharedItems containsSemiMixedTypes="0" containsNonDate="0" containsDate="1" containsString="0" minDate="2026-04-09T00:00:00" maxDate="2026-06-24T00:00:00" count="37">
        <d v="2026-04-09T00:00:00"/>
        <d v="2026-04-10T00:00:00"/>
        <d v="2026-04-12T00:00:00"/>
        <d v="2026-04-13T00:00:00"/>
        <d v="2026-04-14T00:00:00"/>
        <d v="2026-04-15T00:00:00"/>
        <d v="2026-04-20T00:00:00"/>
        <d v="2026-04-21T00:00:00"/>
        <d v="2026-04-22T00:00:00"/>
        <d v="2026-04-23T00:00:00"/>
        <d v="2026-04-24T00:00:00"/>
        <d v="2026-04-27T00:00:00"/>
        <d v="2026-04-29T00:00:00"/>
        <d v="2026-04-30T00:00:00"/>
        <d v="2026-05-04T00:00:00"/>
        <d v="2026-05-06T00:00:00"/>
        <d v="2026-05-07T00:00:00"/>
        <d v="2026-05-11T00:00:00"/>
        <d v="2026-05-13T00:00:00"/>
        <d v="2026-05-16T00:00:00"/>
        <d v="2026-05-21T00:00:00"/>
        <d v="2026-05-26T00:00:00"/>
        <d v="2026-05-29T00:00:00"/>
        <d v="2026-05-31T00:00:00"/>
        <d v="2026-06-02T00:00:00"/>
        <d v="2026-06-04T00:00:00"/>
        <d v="2026-06-05T00:00:00"/>
        <d v="2026-06-08T00:00:00"/>
        <d v="2026-06-09T00:00:00"/>
        <d v="2026-06-12T00:00:00"/>
        <d v="2026-06-13T00:00:00"/>
        <d v="2026-06-15T00:00:00"/>
        <d v="2026-06-16T00:00:00"/>
        <d v="2026-06-17T00:00:00"/>
        <d v="2026-06-19T00:00:00"/>
        <d v="2026-06-22T00:00:00"/>
        <d v="2026-06-23T00:00:00"/>
      </sharedItems>
      <fieldGroup par="10" base="0">
        <rangePr groupBy="days" startDate="2026-04-09T00:00:00" endDate="2026-06-24T00:00:00"/>
        <groupItems count="368">
          <s v="&lt;9/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6/2026"/>
        </groupItems>
      </fieldGroup>
    </cacheField>
    <cacheField name="Descripción" numFmtId="0">
      <sharedItems count="90">
        <s v="Credito Inmediato"/>
        <s v="Gastos de la oficina"/>
        <s v="Gastos de la oficina 2"/>
        <s v="Recoge basura"/>
        <s v="Dispensador de agua y Cafetera"/>
        <s v="Varios para estación de café"/>
        <s v="Varios para oficina (Sin factura)"/>
        <s v="Compra de Mini UPS (WIFI)"/>
        <s v="Papeleria"/>
        <s v="Café. Azucar, Vasos, entre otros"/>
        <s v="Servicio e impresión"/>
        <s v="Pago de abono de la Maquinaria 30%"/>
        <s v="Comisión Bancaria "/>
        <s v="Transpaso a la cuenta de Yohaly para pago de Nomina"/>
        <s v="Abono de papel para el vidrio"/>
        <s v="Almuerzo de la Sra. Yasmira"/>
        <s v="Traspaso de Comision bancaria para pago de nomina 0,003% de 753.004,31"/>
        <s v="Compra de Radios para el vertedero"/>
        <s v="Comision Bancaria"/>
        <s v="Pago SAREN WEB"/>
        <s v=" Transferencia Tealca (Radios)"/>
        <s v="Recarga de Toner "/>
        <s v="Traspaso a Yasmira"/>
        <s v="Traspaso a Yasmira para gastos varios"/>
        <s v="Pago de Cisternas para el Vertedero"/>
        <s v="Pago de Facturas pendientes con el Sr Juan"/>
        <s v="Pago de envio de antena y factura de radios "/>
        <s v="Credito Inmediato (Pago de Nomina)"/>
        <s v="Traspaso para el pago de nomina"/>
        <s v="Credito Inmediato (Diferencia de Nomina)"/>
        <s v="Pago de Diferencia de Nomina "/>
        <s v="Resma de hojas blanca/carta"/>
        <s v="Lapiz Corrector"/>
        <s v="Mantenimiento de Cuenta"/>
        <s v="Compra de Clips"/>
        <s v="Pago de Condomio Mayo 2026"/>
        <s v="Pago de Servicio de Internet MINET"/>
        <s v="Pago de Servicio Electrico (CORPOELEC)"/>
        <s v="Café, Desinfectante, Hojas Blancas"/>
        <s v="Credito directo para pago de diferencia correspondiente al mes de Abril y anticipo del 30% del mes de mayo "/>
        <s v="Credito para compra Ponchos"/>
        <s v="Diferencia en el pago del mes de Abril 2026"/>
        <s v="Pago del 30% de anticipo del mes de Mayo 2026"/>
        <s v="Credito Inmediato de diferencia para comprar 10 ponchos para el vertedero."/>
        <s v="Compra de 10 ponchos para trabajadores del vertedero"/>
        <s v="Recarga del botellon de agua"/>
        <s v="Credito directo para pago de Nomina"/>
        <s v="Traspaso a Yohaly para pago de nomina"/>
        <s v="Compra de 3 carpetas amarillas"/>
        <s v="Credito Directo"/>
        <s v="Pago Salario  a Recaudador (Pascacio Pino)"/>
        <s v="Pago SENIAT (2690983539) 01-03-2026"/>
        <s v="Pago SENIAT (2601690784) 01-04-2026"/>
        <s v="Pago SENIAT (2691258123) 01-04-2026"/>
        <s v="Credito Inmediato Nomina"/>
        <s v="Comision Bancaria "/>
        <s v="Pago de Servicio de Transporte y Encomiendas"/>
        <s v="Emision de estado de cuenta"/>
        <s v="Envio de mensajes"/>
        <s v="Gastos Varios: Desifectante, Cloro, Bolsas"/>
        <s v="Gastos varios: Papel higienico, bolsas, azucar"/>
        <s v="Botellon de Agua"/>
        <s v="Pago de Condominio Junio 2026"/>
        <s v="Suministro directo /Esobades"/>
        <s v="Compra de Punto de Venta"/>
        <s v="Pago de Internet / Minet"/>
        <s v="Pago de Electricidad/Corpoelec"/>
        <s v="Pago de Gasoil/ Humberto Chalbaud"/>
        <s v="Liquidacion Comercio 002"/>
        <s v="Liquidacion Comercio 001"/>
        <s v="Cobro por procesamiento TDD Y TDC"/>
        <s v="Pago de Nomina (Personal Obrero)"/>
        <s v="Pago de Proveedores (SERD CO)"/>
        <s v="Pago de Salario (Pascacio Pino) 15na 15/06"/>
        <s v="Pago de Salario  (Yohaly Sanchez) 15 na 15/06"/>
        <s v="Pago de Salario (Juan Carlos Rodriguez 15na 15/06"/>
        <s v="Pago de 3 viajes de Granzon (Jean Carlos Valderrama)"/>
        <s v="Liquidacion a Comercio TDC"/>
        <s v="Compra de Papel tamaño carta y rollos para los puntos"/>
        <s v="Pago de Maquinarias, correspondiente al mes de MAYO 2026"/>
        <s v="Pago de Sistema 22161342"/>
        <s v="Pago de Sistema Abono 22161561"/>
        <s v="Pago de sistema CEMTECSOFT"/>
        <s v="Pago a Contadora (Yoneida Gutierrez)"/>
        <s v="Pago  de Anticipo de Alquiler de maquinaria (Miguel Angel Cordero)"/>
        <s v="Compra de Carpetas, Almohadilla"/>
        <s v="Compra de Separadores"/>
        <s v="Liquidacion a Comercio TDD 87989844"/>
        <s v="Liquidacion a Comercio TDD 87989845"/>
        <s v="Pago de Proveedores (CONTRUCTORA CIUDAD DE ORO)"/>
      </sharedItems>
    </cacheField>
    <cacheField name="Monto $ -" numFmtId="0">
      <sharedItems containsBlank="1" containsMixedTypes="1" containsNumber="1" minValue="0" maxValue="6795.08"/>
    </cacheField>
    <cacheField name="Monto Bs -" numFmtId="0">
      <sharedItems containsString="0" containsBlank="1" containsNumber="1" minValue="0.1" maxValue="3245508"/>
    </cacheField>
    <cacheField name="Monto $ +" numFmtId="0">
      <sharedItems containsString="0" containsBlank="1" containsNumber="1" minValue="0.01" maxValue="8162.63"/>
    </cacheField>
    <cacheField name="Metodo Bs +" numFmtId="0">
      <sharedItems containsString="0" containsBlank="1" containsNumber="1" minValue="4.9000000000000004" maxValue="4836492.6100000003"/>
    </cacheField>
    <cacheField name="Saldo total" numFmtId="43">
      <sharedItems containsSemiMixedTypes="0" containsString="0" containsNumber="1" minValue="1185.3000000000188" maxValue="5347300.830000001"/>
    </cacheField>
    <cacheField name="Método de pago" numFmtId="0">
      <sharedItems containsBlank="1"/>
    </cacheField>
    <cacheField name="Destinado" numFmtId="0">
      <sharedItems count="4">
        <s v="Entrada"/>
        <s v="Administrativo"/>
        <s v="Operativo"/>
        <s v="Operativo "/>
      </sharedItems>
    </cacheField>
    <cacheField name="Concepto" numFmtId="0">
      <sharedItems count="12">
        <s v="Suministros"/>
        <s v="Papeleria"/>
        <s v="Mantenimiento"/>
        <s v="Inversion de activos fijos"/>
        <s v="Maquinaria"/>
        <s v="Nomina"/>
        <s v="Maquinarias"/>
        <s v="Esobades"/>
        <s v="Vertedero"/>
        <s v="Serd Co"/>
        <s v="Mantemiento"/>
        <s v="Comercio"/>
      </sharedItems>
    </cacheField>
    <cacheField name="Meses" numFmtId="0" databaseField="0">
      <fieldGroup base="0">
        <rangePr groupBy="months" startDate="2026-04-09T00:00:00" endDate="2026-06-24T00:00:00"/>
        <groupItems count="14">
          <s v="&lt;9/4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4/6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">
  <r>
    <x v="0"/>
    <x v="0"/>
    <m/>
    <m/>
    <n v="2000"/>
    <n v="954535.95"/>
    <n v="954535.95"/>
    <s v="Transferencia"/>
    <x v="0"/>
    <x v="0"/>
  </r>
  <r>
    <x v="0"/>
    <x v="1"/>
    <s v="90,48"/>
    <n v="43064.85"/>
    <m/>
    <m/>
    <n v="911471.1"/>
    <s v="Punto"/>
    <x v="1"/>
    <x v="1"/>
  </r>
  <r>
    <x v="1"/>
    <x v="2"/>
    <n v="88"/>
    <n v="41925.839999999997"/>
    <m/>
    <m/>
    <n v="869545.26"/>
    <s v="Punto"/>
    <x v="1"/>
    <x v="1"/>
  </r>
  <r>
    <x v="1"/>
    <x v="3"/>
    <n v="3"/>
    <n v="1431"/>
    <m/>
    <m/>
    <n v="868114.26"/>
    <s v="Punto"/>
    <x v="1"/>
    <x v="2"/>
  </r>
  <r>
    <x v="2"/>
    <x v="4"/>
    <n v="155"/>
    <n v="73958.25"/>
    <m/>
    <m/>
    <n v="794156.01"/>
    <s v="Punto"/>
    <x v="1"/>
    <x v="3"/>
  </r>
  <r>
    <x v="2"/>
    <x v="5"/>
    <n v="67.55"/>
    <n v="32232.78"/>
    <m/>
    <m/>
    <n v="761923.23"/>
    <s v="Punto"/>
    <x v="1"/>
    <x v="2"/>
  </r>
  <r>
    <x v="2"/>
    <x v="6"/>
    <n v="47.78"/>
    <n v="22800"/>
    <m/>
    <m/>
    <n v="739123.23"/>
    <s v="Punto"/>
    <x v="1"/>
    <x v="1"/>
  </r>
  <r>
    <x v="2"/>
    <x v="7"/>
    <n v="39.5"/>
    <n v="18847.419999999998"/>
    <m/>
    <m/>
    <n v="720275.80999999994"/>
    <s v="Punto"/>
    <x v="1"/>
    <x v="3"/>
  </r>
  <r>
    <x v="2"/>
    <x v="8"/>
    <n v="18.899999999999999"/>
    <n v="9018.15"/>
    <m/>
    <m/>
    <n v="711257.65999999992"/>
    <s v="Punto"/>
    <x v="1"/>
    <x v="1"/>
  </r>
  <r>
    <x v="3"/>
    <x v="9"/>
    <n v="30.33"/>
    <n v="14471.95"/>
    <m/>
    <m/>
    <n v="696785.71"/>
    <s v="Punto"/>
    <x v="1"/>
    <x v="2"/>
  </r>
  <r>
    <x v="3"/>
    <x v="10"/>
    <n v="6.54"/>
    <n v="3125.33"/>
    <m/>
    <m/>
    <n v="693660.38"/>
    <s v="Punto"/>
    <x v="1"/>
    <x v="1"/>
  </r>
  <r>
    <x v="4"/>
    <x v="0"/>
    <m/>
    <m/>
    <n v="1000"/>
    <n v="477625.9"/>
    <n v="1171286.28"/>
    <s v="Transferencia"/>
    <x v="0"/>
    <x v="0"/>
  </r>
  <r>
    <x v="4"/>
    <x v="0"/>
    <m/>
    <m/>
    <n v="1698.77"/>
    <n v="811377"/>
    <n v="1982663.28"/>
    <s v="Transferencia"/>
    <x v="0"/>
    <x v="0"/>
  </r>
  <r>
    <x v="4"/>
    <x v="0"/>
    <m/>
    <m/>
    <n v="1698.77"/>
    <n v="811377"/>
    <n v="2794040.2800000003"/>
    <s v="Transferencia"/>
    <x v="0"/>
    <x v="0"/>
  </r>
  <r>
    <x v="4"/>
    <x v="0"/>
    <m/>
    <m/>
    <n v="1698.77"/>
    <n v="811377"/>
    <n v="3605417.2800000003"/>
    <s v="Transferencia"/>
    <x v="0"/>
    <x v="0"/>
  </r>
  <r>
    <x v="4"/>
    <x v="0"/>
    <m/>
    <m/>
    <n v="1698.77"/>
    <n v="811377"/>
    <n v="4416794.28"/>
    <s v="Transferencia"/>
    <x v="0"/>
    <x v="0"/>
  </r>
  <r>
    <x v="4"/>
    <x v="11"/>
    <n v="6795.08"/>
    <n v="3245508"/>
    <m/>
    <m/>
    <n v="1171286.2800000003"/>
    <s v="Transferencia"/>
    <x v="2"/>
    <x v="4"/>
  </r>
  <r>
    <x v="4"/>
    <x v="12"/>
    <m/>
    <n v="9736.52"/>
    <m/>
    <m/>
    <n v="1161549.7600000002"/>
    <s v="Banco"/>
    <x v="2"/>
    <x v="4"/>
  </r>
  <r>
    <x v="4"/>
    <x v="13"/>
    <n v="1556.63"/>
    <n v="753004.31"/>
    <m/>
    <m/>
    <n v="408545.45000000019"/>
    <s v="Transferencia"/>
    <x v="2"/>
    <x v="5"/>
  </r>
  <r>
    <x v="4"/>
    <x v="12"/>
    <m/>
    <n v="2259.0100000000002"/>
    <m/>
    <m/>
    <n v="406286.44000000018"/>
    <m/>
    <x v="2"/>
    <x v="5"/>
  </r>
  <r>
    <x v="4"/>
    <x v="14"/>
    <n v="15"/>
    <n v="7164.39"/>
    <m/>
    <m/>
    <n v="399122.05000000016"/>
    <s v="Transferencia"/>
    <x v="1"/>
    <x v="2"/>
  </r>
  <r>
    <x v="4"/>
    <x v="12"/>
    <m/>
    <n v="21.49"/>
    <m/>
    <m/>
    <n v="399100.56000000017"/>
    <m/>
    <x v="1"/>
    <x v="2"/>
  </r>
  <r>
    <x v="4"/>
    <x v="15"/>
    <n v="3"/>
    <n v="1433"/>
    <m/>
    <m/>
    <n v="397667.56000000017"/>
    <s v="Transferencia"/>
    <x v="1"/>
    <x v="2"/>
  </r>
  <r>
    <x v="4"/>
    <x v="12"/>
    <m/>
    <n v="4.29"/>
    <m/>
    <m/>
    <n v="397663.27000000019"/>
    <s v="Banco"/>
    <x v="1"/>
    <x v="2"/>
  </r>
  <r>
    <x v="4"/>
    <x v="16"/>
    <n v="4.32"/>
    <n v="2063.3000000000002"/>
    <m/>
    <m/>
    <n v="395599.9700000002"/>
    <s v="Transferencia"/>
    <x v="2"/>
    <x v="5"/>
  </r>
  <r>
    <x v="4"/>
    <x v="12"/>
    <m/>
    <n v="6.18"/>
    <m/>
    <m/>
    <n v="395593.79000000021"/>
    <s v="Banco"/>
    <x v="2"/>
    <x v="5"/>
  </r>
  <r>
    <x v="5"/>
    <x v="17"/>
    <n v="136.99"/>
    <n v="65559.09"/>
    <m/>
    <m/>
    <n v="330034.70000000019"/>
    <s v="Transferencia"/>
    <x v="2"/>
    <x v="3"/>
  </r>
  <r>
    <x v="5"/>
    <x v="18"/>
    <m/>
    <n v="196.67"/>
    <m/>
    <m/>
    <n v="329838.0300000002"/>
    <s v="Banco"/>
    <x v="2"/>
    <x v="3"/>
  </r>
  <r>
    <x v="6"/>
    <x v="19"/>
    <n v="35.700000000000003"/>
    <n v="17177.400000000001"/>
    <m/>
    <m/>
    <n v="312660.63000000018"/>
    <s v="Transferencia"/>
    <x v="1"/>
    <x v="1"/>
  </r>
  <r>
    <x v="7"/>
    <x v="19"/>
    <n v="408.9"/>
    <n v="196967.52"/>
    <m/>
    <m/>
    <n v="115693.11000000019"/>
    <s v="Transferencia"/>
    <x v="1"/>
    <x v="1"/>
  </r>
  <r>
    <x v="7"/>
    <x v="18"/>
    <m/>
    <n v="25.14"/>
    <m/>
    <m/>
    <n v="115667.97000000019"/>
    <s v="Banco"/>
    <x v="1"/>
    <x v="1"/>
  </r>
  <r>
    <x v="7"/>
    <x v="18"/>
    <m/>
    <n v="15.17"/>
    <m/>
    <m/>
    <n v="115652.80000000019"/>
    <s v="Banco"/>
    <x v="1"/>
    <x v="1"/>
  </r>
  <r>
    <x v="7"/>
    <x v="20"/>
    <n v="10.5"/>
    <n v="5058.8"/>
    <m/>
    <m/>
    <n v="110594.00000000019"/>
    <s v="Transferencia"/>
    <x v="2"/>
    <x v="3"/>
  </r>
  <r>
    <x v="7"/>
    <x v="18"/>
    <m/>
    <n v="15.17"/>
    <m/>
    <m/>
    <n v="110578.83000000019"/>
    <s v="Banco"/>
    <x v="2"/>
    <x v="3"/>
  </r>
  <r>
    <x v="8"/>
    <x v="21"/>
    <n v="17.36"/>
    <n v="8381.58"/>
    <m/>
    <m/>
    <n v="102197.25000000019"/>
    <s v="Transferencia"/>
    <x v="1"/>
    <x v="2"/>
  </r>
  <r>
    <x v="8"/>
    <x v="18"/>
    <m/>
    <n v="25.14"/>
    <m/>
    <m/>
    <n v="102172.11000000019"/>
    <s v="Banco"/>
    <x v="1"/>
    <x v="2"/>
  </r>
  <r>
    <x v="8"/>
    <x v="22"/>
    <n v="20.71"/>
    <n v="10000"/>
    <m/>
    <m/>
    <n v="92172.11000000019"/>
    <s v="Transferencia"/>
    <x v="1"/>
    <x v="2"/>
  </r>
  <r>
    <x v="8"/>
    <x v="18"/>
    <m/>
    <n v="30"/>
    <m/>
    <m/>
    <n v="92142.11000000019"/>
    <s v="Banco"/>
    <x v="1"/>
    <x v="2"/>
  </r>
  <r>
    <x v="9"/>
    <x v="23"/>
    <n v="20.69"/>
    <n v="10000"/>
    <m/>
    <m/>
    <n v="82142.11000000019"/>
    <s v="Transferencia"/>
    <x v="1"/>
    <x v="2"/>
  </r>
  <r>
    <x v="9"/>
    <x v="18"/>
    <m/>
    <n v="30"/>
    <m/>
    <m/>
    <n v="82112.11000000019"/>
    <s v="Banco"/>
    <x v="1"/>
    <x v="2"/>
  </r>
  <r>
    <x v="10"/>
    <x v="24"/>
    <n v="70"/>
    <n v="33870.870000000003"/>
    <m/>
    <m/>
    <n v="48241.240000000187"/>
    <s v="Transferencia"/>
    <x v="2"/>
    <x v="6"/>
  </r>
  <r>
    <x v="10"/>
    <x v="18"/>
    <m/>
    <n v="101.61"/>
    <m/>
    <m/>
    <n v="48139.630000000187"/>
    <s v="Banco"/>
    <x v="2"/>
    <x v="6"/>
  </r>
  <r>
    <x v="11"/>
    <x v="25"/>
    <n v="68.260000000000005"/>
    <n v="33186.68"/>
    <m/>
    <m/>
    <n v="14952.950000000186"/>
    <s v="Transferencia"/>
    <x v="1"/>
    <x v="1"/>
  </r>
  <r>
    <x v="11"/>
    <x v="18"/>
    <m/>
    <n v="99.56"/>
    <m/>
    <m/>
    <n v="14853.390000000187"/>
    <s v="Banco"/>
    <x v="1"/>
    <x v="1"/>
  </r>
  <r>
    <x v="11"/>
    <x v="26"/>
    <n v="8.31"/>
    <n v="4027.24"/>
    <m/>
    <m/>
    <n v="10826.150000000187"/>
    <s v="Punto"/>
    <x v="2"/>
    <x v="3"/>
  </r>
  <r>
    <x v="12"/>
    <x v="27"/>
    <m/>
    <m/>
    <n v="1223.6199999999999"/>
    <n v="594917.63"/>
    <n v="605743.78000000014"/>
    <s v="Transferencia"/>
    <x v="0"/>
    <x v="0"/>
  </r>
  <r>
    <x v="12"/>
    <x v="27"/>
    <m/>
    <m/>
    <n v="1223.6199999999999"/>
    <n v="594917.63"/>
    <n v="1200661.4100000001"/>
    <s v="Transferencia"/>
    <x v="0"/>
    <x v="0"/>
  </r>
  <r>
    <x v="12"/>
    <x v="19"/>
    <n v="120.12"/>
    <n v="58403.16"/>
    <m/>
    <m/>
    <n v="1142258.2500000002"/>
    <s v="Transferencia"/>
    <x v="1"/>
    <x v="1"/>
  </r>
  <r>
    <x v="12"/>
    <x v="28"/>
    <n v="2258.17"/>
    <n v="1100000"/>
    <m/>
    <m/>
    <n v="42258.250000000233"/>
    <s v="Transferencia"/>
    <x v="2"/>
    <x v="5"/>
  </r>
  <r>
    <x v="12"/>
    <x v="18"/>
    <m/>
    <n v="3300"/>
    <m/>
    <m/>
    <n v="38958.250000000233"/>
    <s v="Banco"/>
    <x v="2"/>
    <x v="5"/>
  </r>
  <r>
    <x v="12"/>
    <x v="29"/>
    <m/>
    <m/>
    <n v="156.27000000000001"/>
    <n v="76122.789999999994"/>
    <n v="115081.04000000023"/>
    <s v="Transferencia"/>
    <x v="0"/>
    <x v="0"/>
  </r>
  <r>
    <x v="12"/>
    <x v="30"/>
    <n v="213.49"/>
    <n v="103996.07"/>
    <m/>
    <m/>
    <n v="11084.970000000219"/>
    <s v="Transferencia"/>
    <x v="2"/>
    <x v="5"/>
  </r>
  <r>
    <x v="12"/>
    <x v="18"/>
    <m/>
    <n v="311.98"/>
    <m/>
    <m/>
    <n v="10772.99000000022"/>
    <s v="Banco"/>
    <x v="2"/>
    <x v="5"/>
  </r>
  <r>
    <x v="13"/>
    <x v="31"/>
    <n v="8.98"/>
    <n v="4374.34"/>
    <m/>
    <m/>
    <n v="6398.6500000002197"/>
    <s v="Punto"/>
    <x v="1"/>
    <x v="1"/>
  </r>
  <r>
    <x v="13"/>
    <x v="32"/>
    <n v="1.5"/>
    <n v="730.68"/>
    <m/>
    <m/>
    <n v="5667.9700000002194"/>
    <s v="Punto"/>
    <x v="1"/>
    <x v="1"/>
  </r>
  <r>
    <x v="13"/>
    <x v="33"/>
    <m/>
    <n v="16.100000000000001"/>
    <m/>
    <m/>
    <n v="5651.8700000002191"/>
    <s v="Banco"/>
    <x v="1"/>
    <x v="1"/>
  </r>
  <r>
    <x v="14"/>
    <x v="34"/>
    <n v="2.7"/>
    <n v="1321.79"/>
    <m/>
    <m/>
    <n v="4330.0800000002191"/>
    <s v="Punto"/>
    <x v="1"/>
    <x v="1"/>
  </r>
  <r>
    <x v="15"/>
    <x v="0"/>
    <m/>
    <m/>
    <n v="137"/>
    <n v="67656.72"/>
    <n v="71986.800000000221"/>
    <s v="Transferencia"/>
    <x v="0"/>
    <x v="0"/>
  </r>
  <r>
    <x v="16"/>
    <x v="35"/>
    <n v="37.130000000000003"/>
    <n v="18447.3"/>
    <m/>
    <m/>
    <n v="53539.500000000218"/>
    <s v="Transferencia"/>
    <x v="1"/>
    <x v="2"/>
  </r>
  <r>
    <x v="16"/>
    <x v="18"/>
    <n v="0.11"/>
    <n v="55.34"/>
    <m/>
    <m/>
    <n v="53484.160000000222"/>
    <s v="Banco"/>
    <x v="1"/>
    <x v="2"/>
  </r>
  <r>
    <x v="17"/>
    <x v="36"/>
    <n v="28.37"/>
    <n v="14200"/>
    <m/>
    <m/>
    <n v="39284.160000000222"/>
    <s v="Punto"/>
    <x v="1"/>
    <x v="2"/>
  </r>
  <r>
    <x v="17"/>
    <x v="37"/>
    <n v="13"/>
    <n v="6504.68"/>
    <m/>
    <m/>
    <n v="32779.480000000221"/>
    <s v="Punto"/>
    <x v="1"/>
    <x v="2"/>
  </r>
  <r>
    <x v="17"/>
    <x v="38"/>
    <n v="19.13"/>
    <n v="9573.81"/>
    <m/>
    <m/>
    <n v="23205.670000000224"/>
    <s v="Punto"/>
    <x v="1"/>
    <x v="2"/>
  </r>
  <r>
    <x v="2"/>
    <x v="39"/>
    <m/>
    <m/>
    <n v="7819"/>
    <n v="3947927.26"/>
    <n v="3971132.93"/>
    <s v="Transferencia"/>
    <x v="0"/>
    <x v="0"/>
  </r>
  <r>
    <x v="2"/>
    <x v="40"/>
    <m/>
    <m/>
    <n v="86.67"/>
    <n v="44079.040000000001"/>
    <n v="4015211.97"/>
    <s v="Transferencia"/>
    <x v="0"/>
    <x v="0"/>
  </r>
  <r>
    <x v="18"/>
    <x v="41"/>
    <n v="2015"/>
    <n v="1024829.81"/>
    <m/>
    <m/>
    <n v="2990382.16"/>
    <s v="Transferencia"/>
    <x v="2"/>
    <x v="4"/>
  </r>
  <r>
    <x v="18"/>
    <x v="18"/>
    <n v="6.04"/>
    <n v="3074.48"/>
    <m/>
    <m/>
    <n v="2987307.68"/>
    <s v="Banco"/>
    <x v="2"/>
    <x v="4"/>
  </r>
  <r>
    <x v="18"/>
    <x v="42"/>
    <n v="5784.34"/>
    <n v="2941916.72"/>
    <m/>
    <m/>
    <n v="45390.959999999963"/>
    <s v="Transferencia"/>
    <x v="2"/>
    <x v="4"/>
  </r>
  <r>
    <x v="18"/>
    <x v="18"/>
    <n v="17.350000000000001"/>
    <n v="8825.75"/>
    <m/>
    <m/>
    <n v="36565.209999999963"/>
    <s v="Banco"/>
    <x v="2"/>
    <x v="4"/>
  </r>
  <r>
    <x v="18"/>
    <x v="43"/>
    <m/>
    <m/>
    <n v="19.66"/>
    <n v="10000"/>
    <n v="46565.209999999963"/>
    <s v="Transferencia"/>
    <x v="0"/>
    <x v="0"/>
  </r>
  <r>
    <x v="18"/>
    <x v="44"/>
    <n v="85.78"/>
    <n v="43628.76"/>
    <m/>
    <m/>
    <n v="2936.4499999999607"/>
    <s v="Punto"/>
    <x v="2"/>
    <x v="3"/>
  </r>
  <r>
    <x v="18"/>
    <x v="45"/>
    <n v="2"/>
    <n v="1018"/>
    <m/>
    <m/>
    <n v="1918.4499999999607"/>
    <s v="Punto"/>
    <x v="1"/>
    <x v="2"/>
  </r>
  <r>
    <x v="19"/>
    <x v="46"/>
    <m/>
    <m/>
    <n v="1235.45"/>
    <n v="650919.31000000006"/>
    <n v="652837.76"/>
    <s v="Transferencia"/>
    <x v="0"/>
    <x v="0"/>
  </r>
  <r>
    <x v="19"/>
    <x v="46"/>
    <m/>
    <m/>
    <n v="1235.45"/>
    <n v="650919.31000000006"/>
    <n v="1303757.07"/>
    <s v="Transferencia"/>
    <x v="0"/>
    <x v="0"/>
  </r>
  <r>
    <x v="19"/>
    <x v="47"/>
    <n v="1235.45"/>
    <n v="650919.31000000006"/>
    <m/>
    <m/>
    <n v="652837.76"/>
    <s v="Transferencia"/>
    <x v="2"/>
    <x v="5"/>
  </r>
  <r>
    <x v="19"/>
    <x v="18"/>
    <n v="3.71"/>
    <n v="1952.75"/>
    <m/>
    <m/>
    <n v="650885.01"/>
    <s v="Banco"/>
    <x v="2"/>
    <x v="5"/>
  </r>
  <r>
    <x v="19"/>
    <x v="47"/>
    <n v="1228.06"/>
    <n v="647025.49"/>
    <m/>
    <m/>
    <n v="3859.5200000000186"/>
    <s v="Transferencia"/>
    <x v="3"/>
    <x v="5"/>
  </r>
  <r>
    <x v="19"/>
    <x v="18"/>
    <n v="3.68"/>
    <n v="1941.07"/>
    <m/>
    <m/>
    <n v="1918.4500000000187"/>
    <s v="Banco"/>
    <x v="2"/>
    <x v="5"/>
  </r>
  <r>
    <x v="20"/>
    <x v="48"/>
    <n v="1.39"/>
    <n v="733.15"/>
    <m/>
    <m/>
    <n v="1185.3000000000188"/>
    <s v="Punto"/>
    <x v="1"/>
    <x v="1"/>
  </r>
  <r>
    <x v="21"/>
    <x v="49"/>
    <m/>
    <m/>
    <n v="1200"/>
    <n v="642462.36"/>
    <n v="643647.66"/>
    <s v="Transferencia"/>
    <x v="0"/>
    <x v="0"/>
  </r>
  <r>
    <x v="21"/>
    <x v="50"/>
    <n v="1000"/>
    <n v="535385.30000000005"/>
    <m/>
    <m/>
    <n v="108262.35999999999"/>
    <s v="Transferencia"/>
    <x v="1"/>
    <x v="5"/>
  </r>
  <r>
    <x v="21"/>
    <x v="18"/>
    <n v="2.97"/>
    <n v="1606.15"/>
    <m/>
    <m/>
    <n v="106656.20999999999"/>
    <m/>
    <x v="1"/>
    <x v="5"/>
  </r>
  <r>
    <x v="21"/>
    <x v="51"/>
    <n v="15.14"/>
    <n v="8103.18"/>
    <m/>
    <m/>
    <n v="98553.03"/>
    <s v="Transferencia"/>
    <x v="1"/>
    <x v="1"/>
  </r>
  <r>
    <x v="21"/>
    <x v="52"/>
    <n v="0.55000000000000004"/>
    <n v="292"/>
    <m/>
    <m/>
    <n v="98261.03"/>
    <s v="Transferencia"/>
    <x v="1"/>
    <x v="1"/>
  </r>
  <r>
    <x v="21"/>
    <x v="53"/>
    <n v="39.31"/>
    <n v="21043.55"/>
    <m/>
    <m/>
    <n v="77217.48"/>
    <s v="Transferencia"/>
    <x v="1"/>
    <x v="1"/>
  </r>
  <r>
    <x v="22"/>
    <x v="54"/>
    <m/>
    <m/>
    <n v="1256.3699999999999"/>
    <n v="690216.45"/>
    <n v="767433.92999999993"/>
    <s v="Transferencia"/>
    <x v="0"/>
    <x v="0"/>
  </r>
  <r>
    <x v="22"/>
    <x v="54"/>
    <m/>
    <m/>
    <n v="1256.3699999999999"/>
    <n v="690216.45"/>
    <n v="1457650.38"/>
    <s v="Transferencia"/>
    <x v="0"/>
    <x v="0"/>
  </r>
  <r>
    <x v="22"/>
    <x v="47"/>
    <n v="1252.6600000000001"/>
    <n v="688176.92"/>
    <m/>
    <m/>
    <n v="769473.45999999985"/>
    <s v="Transferencia"/>
    <x v="1"/>
    <x v="5"/>
  </r>
  <r>
    <x v="22"/>
    <x v="18"/>
    <n v="3.76"/>
    <n v="2064.5300000000002"/>
    <m/>
    <m/>
    <n v="767408.92999999982"/>
    <s v="Banco"/>
    <x v="1"/>
    <x v="5"/>
  </r>
  <r>
    <x v="22"/>
    <x v="47"/>
    <n v="1252.6600000000001"/>
    <n v="688176.92"/>
    <m/>
    <m/>
    <n v="79232.009999999776"/>
    <s v="Transferencia"/>
    <x v="1"/>
    <x v="5"/>
  </r>
  <r>
    <x v="22"/>
    <x v="55"/>
    <n v="3.76"/>
    <n v="2064.5300000000002"/>
    <m/>
    <m/>
    <n v="77167.479999999778"/>
    <s v="Banco"/>
    <x v="1"/>
    <x v="5"/>
  </r>
  <r>
    <x v="22"/>
    <x v="56"/>
    <n v="39"/>
    <n v="21425.49"/>
    <m/>
    <m/>
    <n v="55741.989999999772"/>
    <s v="Transferencia"/>
    <x v="1"/>
    <x v="2"/>
  </r>
  <r>
    <x v="22"/>
    <x v="18"/>
    <n v="0.12"/>
    <n v="64.27"/>
    <m/>
    <m/>
    <n v="55677.719999999776"/>
    <s v="Banco"/>
    <x v="1"/>
    <x v="2"/>
  </r>
  <r>
    <x v="23"/>
    <x v="33"/>
    <m/>
    <n v="0.1"/>
    <m/>
    <m/>
    <n v="55677.619999999777"/>
    <s v="Banco"/>
    <x v="1"/>
    <x v="2"/>
  </r>
  <r>
    <x v="23"/>
    <x v="57"/>
    <m/>
    <n v="8"/>
    <m/>
    <m/>
    <n v="55669.619999999777"/>
    <s v="Banco"/>
    <x v="1"/>
    <x v="2"/>
  </r>
  <r>
    <x v="23"/>
    <x v="58"/>
    <m/>
    <n v="8"/>
    <m/>
    <m/>
    <n v="55661.619999999777"/>
    <s v="Banco"/>
    <x v="1"/>
    <x v="2"/>
  </r>
  <r>
    <x v="23"/>
    <x v="58"/>
    <m/>
    <n v="8"/>
    <m/>
    <m/>
    <n v="55661.62"/>
    <s v="Banco"/>
    <x v="1"/>
    <x v="2"/>
  </r>
  <r>
    <x v="24"/>
    <x v="59"/>
    <n v="23.04"/>
    <n v="15098.66"/>
    <m/>
    <m/>
    <n v="40562.960000000006"/>
    <s v="Punto"/>
    <x v="1"/>
    <x v="2"/>
  </r>
  <r>
    <x v="25"/>
    <x v="60"/>
    <n v="9.7799999999999994"/>
    <n v="6410.75"/>
    <m/>
    <m/>
    <n v="34152.210000000006"/>
    <s v="Punto"/>
    <x v="1"/>
    <x v="2"/>
  </r>
  <r>
    <x v="26"/>
    <x v="61"/>
    <n v="1.72"/>
    <n v="1128"/>
    <m/>
    <m/>
    <n v="33024.210000000006"/>
    <s v="Punto"/>
    <x v="1"/>
    <x v="2"/>
  </r>
  <r>
    <x v="27"/>
    <x v="62"/>
    <n v="30.5"/>
    <n v="19991.13"/>
    <m/>
    <m/>
    <n v="13033.080000000005"/>
    <s v="Transferencia"/>
    <x v="1"/>
    <x v="2"/>
  </r>
  <r>
    <x v="27"/>
    <x v="18"/>
    <n v="0.09"/>
    <n v="59.97"/>
    <m/>
    <m/>
    <n v="12973.110000000006"/>
    <s v="Banco"/>
    <x v="1"/>
    <x v="2"/>
  </r>
  <r>
    <x v="28"/>
    <x v="63"/>
    <m/>
    <m/>
    <n v="1753.2"/>
    <n v="1912318.99"/>
    <n v="1925292.1"/>
    <s v="Tranferencia"/>
    <x v="0"/>
    <x v="7"/>
  </r>
  <r>
    <x v="28"/>
    <x v="64"/>
    <n v="251.75"/>
    <n v="171213.13"/>
    <m/>
    <m/>
    <n v="1754078.9700000002"/>
    <m/>
    <x v="2"/>
    <x v="3"/>
  </r>
  <r>
    <x v="28"/>
    <x v="64"/>
    <n v="85.14"/>
    <n v="57903.64"/>
    <m/>
    <m/>
    <n v="1696175.3300000003"/>
    <m/>
    <x v="2"/>
    <x v="3"/>
  </r>
  <r>
    <x v="29"/>
    <x v="65"/>
    <n v="24.85"/>
    <n v="16898.009999999998"/>
    <m/>
    <m/>
    <n v="1679277.3200000003"/>
    <s v="Punto"/>
    <x v="1"/>
    <x v="2"/>
  </r>
  <r>
    <x v="29"/>
    <x v="66"/>
    <n v="18.05"/>
    <n v="12272.52"/>
    <m/>
    <m/>
    <n v="1667004.8000000003"/>
    <s v="Punto"/>
    <x v="1"/>
    <x v="2"/>
  </r>
  <r>
    <x v="29"/>
    <x v="67"/>
    <n v="428.63"/>
    <n v="291500"/>
    <m/>
    <m/>
    <n v="1375504.8000000003"/>
    <s v="Tranferencia"/>
    <x v="2"/>
    <x v="4"/>
  </r>
  <r>
    <x v="29"/>
    <x v="18"/>
    <n v="1.29"/>
    <n v="874.5"/>
    <m/>
    <m/>
    <n v="1374630.3000000003"/>
    <s v="Banco"/>
    <x v="2"/>
    <x v="4"/>
  </r>
  <r>
    <x v="30"/>
    <x v="68"/>
    <m/>
    <m/>
    <n v="0.28999999999999998"/>
    <n v="196"/>
    <n v="1374826.3000000003"/>
    <m/>
    <x v="0"/>
    <x v="8"/>
  </r>
  <r>
    <x v="30"/>
    <x v="69"/>
    <m/>
    <m/>
    <n v="0.14000000000000001"/>
    <n v="98"/>
    <n v="1374924.3000000003"/>
    <m/>
    <x v="0"/>
    <x v="8"/>
  </r>
  <r>
    <x v="30"/>
    <x v="70"/>
    <n v="0"/>
    <n v="2.94"/>
    <m/>
    <m/>
    <n v="1374921.3600000003"/>
    <s v="Banco"/>
    <x v="1"/>
    <x v="2"/>
  </r>
  <r>
    <x v="30"/>
    <x v="70"/>
    <n v="0"/>
    <n v="1.47"/>
    <m/>
    <m/>
    <n v="1374919.8900000004"/>
    <s v="Banco"/>
    <x v="1"/>
    <x v="2"/>
  </r>
  <r>
    <x v="31"/>
    <x v="71"/>
    <n v="1266.8"/>
    <n v="861527.09"/>
    <m/>
    <m/>
    <n v="513392.8000000004"/>
    <s v="Transferencia"/>
    <x v="2"/>
    <x v="5"/>
  </r>
  <r>
    <x v="32"/>
    <x v="18"/>
    <n v="3.8"/>
    <n v="2584.58"/>
    <m/>
    <m/>
    <n v="510808.22000000038"/>
    <s v="Banco"/>
    <x v="2"/>
    <x v="5"/>
  </r>
  <r>
    <x v="32"/>
    <x v="72"/>
    <m/>
    <m/>
    <n v="8162.63"/>
    <n v="4836492.6100000003"/>
    <n v="5347300.830000001"/>
    <s v="Transferencia"/>
    <x v="0"/>
    <x v="9"/>
  </r>
  <r>
    <x v="32"/>
    <x v="73"/>
    <n v="430.8"/>
    <n v="296258.15000000002"/>
    <m/>
    <m/>
    <n v="5051042.6800000006"/>
    <s v="Transferencia"/>
    <x v="2"/>
    <x v="5"/>
  </r>
  <r>
    <x v="32"/>
    <x v="18"/>
    <n v="1.29"/>
    <n v="888.77"/>
    <m/>
    <m/>
    <n v="5050153.9100000011"/>
    <s v="Banco"/>
    <x v="2"/>
    <x v="5"/>
  </r>
  <r>
    <x v="32"/>
    <x v="74"/>
    <n v="250"/>
    <n v="171924.53"/>
    <m/>
    <m/>
    <n v="4878229.3800000008"/>
    <s v="Transferencia"/>
    <x v="2"/>
    <x v="5"/>
  </r>
  <r>
    <x v="32"/>
    <x v="18"/>
    <n v="0.75"/>
    <n v="515.77"/>
    <m/>
    <m/>
    <n v="4877713.6100000013"/>
    <s v="Banco"/>
    <x v="2"/>
    <x v="5"/>
  </r>
  <r>
    <x v="32"/>
    <x v="75"/>
    <n v="646.20000000000005"/>
    <n v="444387.23"/>
    <m/>
    <m/>
    <n v="4433326.3800000008"/>
    <s v="Transferencia"/>
    <x v="2"/>
    <x v="5"/>
  </r>
  <r>
    <x v="32"/>
    <x v="18"/>
    <n v="1.94"/>
    <n v="1333.16"/>
    <m/>
    <m/>
    <n v="4431993.2200000007"/>
    <s v="Banco"/>
    <x v="2"/>
    <x v="5"/>
  </r>
  <r>
    <x v="33"/>
    <x v="76"/>
    <n v="388.05"/>
    <n v="268552.08"/>
    <m/>
    <m/>
    <n v="4163441.1400000006"/>
    <s v="Transferencia"/>
    <x v="2"/>
    <x v="4"/>
  </r>
  <r>
    <x v="33"/>
    <x v="18"/>
    <n v="1.1599999999999999"/>
    <n v="805.65"/>
    <m/>
    <m/>
    <n v="4162635.4900000007"/>
    <s v="Banco"/>
    <x v="2"/>
    <x v="4"/>
  </r>
  <r>
    <x v="34"/>
    <x v="77"/>
    <m/>
    <m/>
    <n v="0.01"/>
    <n v="4.9000000000000004"/>
    <n v="4162640.3900000006"/>
    <s v="Banco"/>
    <x v="0"/>
    <x v="8"/>
  </r>
  <r>
    <x v="34"/>
    <x v="78"/>
    <n v="19.670000000000002"/>
    <n v="11947.37"/>
    <m/>
    <m/>
    <n v="4150693.0200000005"/>
    <s v="Punto"/>
    <x v="1"/>
    <x v="1"/>
  </r>
  <r>
    <x v="34"/>
    <x v="79"/>
    <n v="2993.13"/>
    <n v="2087302.26"/>
    <m/>
    <m/>
    <n v="2063390.7600000005"/>
    <s v="Transferencia"/>
    <x v="2"/>
    <x v="4"/>
  </r>
  <r>
    <x v="34"/>
    <x v="18"/>
    <n v="8.98"/>
    <n v="6261.9"/>
    <m/>
    <m/>
    <n v="2057128.8600000006"/>
    <s v="Banco"/>
    <x v="2"/>
    <x v="4"/>
  </r>
  <r>
    <x v="34"/>
    <x v="80"/>
    <n v="298.05"/>
    <n v="207849.51"/>
    <m/>
    <m/>
    <n v="1849279.3500000006"/>
    <s v="Transferencia"/>
    <x v="1"/>
    <x v="2"/>
  </r>
  <r>
    <x v="34"/>
    <x v="18"/>
    <n v="0.89"/>
    <n v="623.54"/>
    <m/>
    <m/>
    <n v="1848655.8100000005"/>
    <s v="Banco"/>
    <x v="1"/>
    <x v="2"/>
  </r>
  <r>
    <x v="34"/>
    <x v="81"/>
    <n v="1306.47"/>
    <n v="911087.85"/>
    <m/>
    <m/>
    <n v="937567.96000000054"/>
    <s v="Transferencia"/>
    <x v="1"/>
    <x v="2"/>
  </r>
  <r>
    <x v="34"/>
    <x v="18"/>
    <n v="3.92"/>
    <n v="2733.26"/>
    <m/>
    <m/>
    <n v="934834.70000000054"/>
    <s v="Banco"/>
    <x v="1"/>
    <x v="2"/>
  </r>
  <r>
    <x v="34"/>
    <x v="82"/>
    <n v="87.1"/>
    <n v="60739.19"/>
    <m/>
    <m/>
    <n v="874095.51000000047"/>
    <s v="Transferencia"/>
    <x v="1"/>
    <x v="2"/>
  </r>
  <r>
    <x v="35"/>
    <x v="83"/>
    <n v="231.2"/>
    <n v="141594.56"/>
    <m/>
    <m/>
    <n v="732500.95000000042"/>
    <m/>
    <x v="2"/>
    <x v="5"/>
  </r>
  <r>
    <x v="35"/>
    <x v="18"/>
    <n v="0.69"/>
    <n v="424.78"/>
    <m/>
    <m/>
    <n v="732076.17000000039"/>
    <m/>
    <x v="2"/>
    <x v="5"/>
  </r>
  <r>
    <x v="35"/>
    <x v="84"/>
    <n v="992.92"/>
    <n v="698173.85"/>
    <m/>
    <m/>
    <n v="33902.320000000414"/>
    <s v="Transferencia"/>
    <x v="2"/>
    <x v="4"/>
  </r>
  <r>
    <x v="35"/>
    <x v="18"/>
    <n v="2.98"/>
    <n v="2094.52"/>
    <m/>
    <m/>
    <n v="31807.800000000414"/>
    <s v="Banco"/>
    <x v="2"/>
    <x v="4"/>
  </r>
  <r>
    <x v="35"/>
    <x v="85"/>
    <n v="13.25"/>
    <n v="9370.18"/>
    <m/>
    <m/>
    <n v="22437.620000000414"/>
    <m/>
    <x v="1"/>
    <x v="1"/>
  </r>
  <r>
    <x v="35"/>
    <x v="86"/>
    <n v="7.54"/>
    <n v="5328.14"/>
    <m/>
    <m/>
    <n v="17109.480000000414"/>
    <s v="Banco"/>
    <x v="1"/>
    <x v="1"/>
  </r>
  <r>
    <x v="36"/>
    <x v="72"/>
    <m/>
    <m/>
    <n v="5868.36"/>
    <n v="4148454.74"/>
    <n v="4165564.2200000007"/>
    <s v="Transferencia"/>
    <x v="0"/>
    <x v="9"/>
  </r>
  <r>
    <x v="36"/>
    <x v="87"/>
    <m/>
    <m/>
    <n v="23.37"/>
    <n v="16521.16"/>
    <n v="4182085.3800000008"/>
    <s v="Punto"/>
    <x v="0"/>
    <x v="8"/>
  </r>
  <r>
    <x v="36"/>
    <x v="88"/>
    <m/>
    <m/>
    <n v="17.53"/>
    <n v="12390.87"/>
    <n v="4194476.2500000009"/>
    <s v="Punto"/>
    <x v="0"/>
    <x v="8"/>
  </r>
  <r>
    <x v="36"/>
    <x v="70"/>
    <n v="0.35"/>
    <n v="247.81"/>
    <m/>
    <m/>
    <n v="4194228.4400000009"/>
    <s v="Punto"/>
    <x v="1"/>
    <x v="10"/>
  </r>
  <r>
    <x v="36"/>
    <x v="70"/>
    <n v="0.26"/>
    <n v="185.86"/>
    <m/>
    <m/>
    <n v="4194042.580000001"/>
    <s v="Punto"/>
    <x v="1"/>
    <x v="10"/>
  </r>
  <r>
    <x v="36"/>
    <x v="89"/>
    <m/>
    <m/>
    <n v="30"/>
    <n v="21207.3"/>
    <n v="4215249.8800000008"/>
    <s v="Transferencia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1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91">
        <item x="20"/>
        <item x="14"/>
        <item x="15"/>
        <item x="61"/>
        <item x="38"/>
        <item x="9"/>
        <item x="70"/>
        <item x="18"/>
        <item x="55"/>
        <item x="12"/>
        <item x="44"/>
        <item x="48"/>
        <item x="85"/>
        <item x="34"/>
        <item x="7"/>
        <item x="78"/>
        <item x="64"/>
        <item x="17"/>
        <item x="86"/>
        <item x="49"/>
        <item x="39"/>
        <item x="46"/>
        <item x="0"/>
        <item x="29"/>
        <item x="27"/>
        <item x="43"/>
        <item x="54"/>
        <item x="40"/>
        <item x="41"/>
        <item x="4"/>
        <item x="57"/>
        <item x="58"/>
        <item x="1"/>
        <item x="2"/>
        <item x="59"/>
        <item x="60"/>
        <item x="32"/>
        <item x="77"/>
        <item x="87"/>
        <item x="88"/>
        <item x="69"/>
        <item x="68"/>
        <item x="33"/>
        <item x="84"/>
        <item x="83"/>
        <item x="76"/>
        <item x="11"/>
        <item x="24"/>
        <item x="62"/>
        <item x="35"/>
        <item x="30"/>
        <item x="66"/>
        <item x="26"/>
        <item x="25"/>
        <item x="67"/>
        <item x="65"/>
        <item x="79"/>
        <item x="71"/>
        <item x="89"/>
        <item x="72"/>
        <item x="74"/>
        <item x="75"/>
        <item x="73"/>
        <item x="36"/>
        <item x="56"/>
        <item x="37"/>
        <item x="80"/>
        <item x="81"/>
        <item x="82"/>
        <item x="42"/>
        <item x="50"/>
        <item x="19"/>
        <item x="52"/>
        <item x="51"/>
        <item x="53"/>
        <item x="8"/>
        <item x="21"/>
        <item x="45"/>
        <item x="3"/>
        <item x="31"/>
        <item x="10"/>
        <item x="63"/>
        <item x="13"/>
        <item x="22"/>
        <item x="23"/>
        <item x="47"/>
        <item x="16"/>
        <item x="28"/>
        <item x="5"/>
        <item x="6"/>
        <item t="default"/>
      </items>
    </pivotField>
    <pivotField dataField="1" showAll="0"/>
    <pivotField showAll="0"/>
    <pivotField showAll="0"/>
    <pivotField showAll="0"/>
    <pivotField numFmtId="43"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3">
        <item x="11"/>
        <item x="7"/>
        <item x="3"/>
        <item x="10"/>
        <item x="2"/>
        <item x="4"/>
        <item x="6"/>
        <item x="5"/>
        <item x="1"/>
        <item x="9"/>
        <item x="0"/>
        <item x="8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98">
    <i>
      <x v="4"/>
    </i>
    <i r="1"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7"/>
    </i>
    <i r="1">
      <x v="20"/>
    </i>
    <i r="1">
      <x v="22"/>
    </i>
    <i r="1">
      <x v="23"/>
    </i>
    <i r="1">
      <x v="24"/>
    </i>
    <i r="1">
      <x v="27"/>
    </i>
    <i r="1">
      <x v="29"/>
    </i>
    <i r="1">
      <x v="32"/>
    </i>
    <i r="1">
      <x v="33"/>
    </i>
    <i r="1">
      <x v="36"/>
    </i>
    <i r="1">
      <x v="42"/>
    </i>
    <i r="1">
      <x v="46"/>
    </i>
    <i r="1">
      <x v="47"/>
    </i>
    <i r="1">
      <x v="50"/>
    </i>
    <i r="1">
      <x v="52"/>
    </i>
    <i r="1">
      <x v="53"/>
    </i>
    <i r="1">
      <x v="71"/>
    </i>
    <i r="1">
      <x v="75"/>
    </i>
    <i r="1">
      <x v="76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>
      <x v="5"/>
    </i>
    <i r="1">
      <x v="4"/>
    </i>
    <i r="1">
      <x v="7"/>
    </i>
    <i r="1">
      <x v="8"/>
    </i>
    <i r="1">
      <x v="10"/>
    </i>
    <i r="1">
      <x v="11"/>
    </i>
    <i r="1">
      <x v="13"/>
    </i>
    <i r="1">
      <x v="19"/>
    </i>
    <i r="1">
      <x v="21"/>
    </i>
    <i r="1">
      <x v="22"/>
    </i>
    <i r="1">
      <x v="25"/>
    </i>
    <i r="1">
      <x v="26"/>
    </i>
    <i r="1">
      <x v="28"/>
    </i>
    <i r="1">
      <x v="30"/>
    </i>
    <i r="1">
      <x v="31"/>
    </i>
    <i r="1">
      <x v="42"/>
    </i>
    <i r="1">
      <x v="49"/>
    </i>
    <i r="1">
      <x v="63"/>
    </i>
    <i r="1">
      <x v="64"/>
    </i>
    <i r="1">
      <x v="65"/>
    </i>
    <i r="1">
      <x v="69"/>
    </i>
    <i r="1">
      <x v="70"/>
    </i>
    <i r="1">
      <x v="72"/>
    </i>
    <i r="1">
      <x v="73"/>
    </i>
    <i r="1">
      <x v="74"/>
    </i>
    <i r="1">
      <x v="77"/>
    </i>
    <i r="1">
      <x v="85"/>
    </i>
    <i>
      <x v="6"/>
    </i>
    <i r="1">
      <x v="3"/>
    </i>
    <i r="1">
      <x v="6"/>
    </i>
    <i r="1">
      <x v="7"/>
    </i>
    <i r="1">
      <x v="12"/>
    </i>
    <i r="1">
      <x v="15"/>
    </i>
    <i r="1">
      <x v="16"/>
    </i>
    <i r="1">
      <x v="18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8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6"/>
    </i>
    <i r="1">
      <x v="67"/>
    </i>
    <i r="1">
      <x v="68"/>
    </i>
    <i r="1">
      <x v="81"/>
    </i>
    <i t="grand">
      <x/>
    </i>
  </rowItems>
  <colItems count="1">
    <i/>
  </colItems>
  <dataFields count="1">
    <dataField name="Suma de Monto $ -" fld="2" baseField="10" baseItem="4" numFmtId="4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stinado" sourceName="Destinado">
  <pivotTables>
    <pivotTable tabId="5" name="TablaDinámica1"/>
  </pivotTables>
  <data>
    <tabular pivotCacheId="1">
      <items count="4">
        <i x="1" s="1"/>
        <i x="2" s="1"/>
        <i x="3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" sourceName="Concepto">
  <pivotTables>
    <pivotTable tabId="5" name="TablaDinámica1"/>
  </pivotTables>
  <data>
    <tabular pivotCacheId="1">
      <items count="12">
        <i x="3" s="1"/>
        <i x="10" s="1"/>
        <i x="2" s="1"/>
        <i x="4" s="1"/>
        <i x="6" s="1"/>
        <i x="5" s="1"/>
        <i x="1" s="1"/>
        <i x="11" s="1" nd="1"/>
        <i x="7" s="1" nd="1"/>
        <i x="9" s="1" nd="1"/>
        <i x="0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es" sourceName="Meses">
  <pivotTables>
    <pivotTable tabId="5" name="TablaDinámica1"/>
  </pivotTables>
  <data>
    <tabular pivotCacheId="1">
      <items count="14">
        <i x="4" s="1"/>
        <i x="5" s="1"/>
        <i x="6" s="1"/>
        <i x="1" s="1" nd="1"/>
        <i x="2" s="1" nd="1"/>
        <i x="3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stinado" cache="SegmentaciónDeDatos_Destinado" caption="Destinado" rowHeight="241300"/>
  <slicer name="Concepto" cache="SegmentaciónDeDatos_Concepto" caption="Concepto" rowHeight="241300"/>
  <slicer name="Meses" cache="SegmentaciónDeDatos_Meses" caption="Meses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1"/>
  <sheetViews>
    <sheetView workbookViewId="0">
      <selection activeCell="B10" sqref="B10"/>
    </sheetView>
  </sheetViews>
  <sheetFormatPr baseColWidth="10" defaultRowHeight="14.5"/>
  <cols>
    <col min="1" max="1" width="102.453125" bestFit="1" customWidth="1"/>
    <col min="2" max="2" width="17.7265625" style="206" customWidth="1"/>
    <col min="3" max="14" width="5" customWidth="1"/>
    <col min="15" max="15" width="4" customWidth="1"/>
    <col min="16" max="17" width="5" customWidth="1"/>
    <col min="18" max="18" width="2" customWidth="1"/>
    <col min="19" max="19" width="4" customWidth="1"/>
    <col min="20" max="21" width="5" customWidth="1"/>
    <col min="22" max="22" width="2" customWidth="1"/>
    <col min="23" max="25" width="5" customWidth="1"/>
    <col min="26" max="26" width="4" customWidth="1"/>
    <col min="27" max="35" width="5" customWidth="1"/>
    <col min="36" max="36" width="3" customWidth="1"/>
    <col min="37" max="37" width="6" customWidth="1"/>
    <col min="38" max="38" width="3" customWidth="1"/>
    <col min="39" max="42" width="6" customWidth="1"/>
    <col min="43" max="43" width="5" customWidth="1"/>
    <col min="44" max="51" width="6" customWidth="1"/>
    <col min="52" max="53" width="5" customWidth="1"/>
    <col min="54" max="54" width="6" customWidth="1"/>
    <col min="55" max="55" width="3" customWidth="1"/>
    <col min="56" max="56" width="6" customWidth="1"/>
    <col min="57" max="57" width="5" customWidth="1"/>
    <col min="58" max="60" width="6" customWidth="1"/>
    <col min="61" max="61" width="3" customWidth="1"/>
    <col min="62" max="63" width="6" customWidth="1"/>
    <col min="64" max="64" width="5" customWidth="1"/>
    <col min="65" max="65" width="3" customWidth="1"/>
    <col min="66" max="67" width="7" customWidth="1"/>
    <col min="68" max="68" width="4" customWidth="1"/>
    <col min="69" max="69" width="7" customWidth="1"/>
    <col min="70" max="70" width="6" customWidth="1"/>
    <col min="71" max="71" width="4" customWidth="1"/>
    <col min="72" max="74" width="7" customWidth="1"/>
    <col min="75" max="75" width="6" customWidth="1"/>
    <col min="76" max="76" width="7" customWidth="1"/>
    <col min="77" max="78" width="6" customWidth="1"/>
    <col min="79" max="79" width="7" customWidth="1"/>
    <col min="80" max="80" width="5" customWidth="1"/>
    <col min="81" max="83" width="8" customWidth="1"/>
    <col min="84" max="84" width="7" customWidth="1"/>
    <col min="85" max="86" width="8" customWidth="1"/>
    <col min="87" max="87" width="5" customWidth="1"/>
    <col min="88" max="91" width="8" customWidth="1"/>
    <col min="92" max="92" width="5.54296875" customWidth="1"/>
    <col min="93" max="93" width="11" customWidth="1"/>
    <col min="94" max="94" width="12.54296875" bestFit="1" customWidth="1"/>
  </cols>
  <sheetData>
    <row r="3" spans="1:2">
      <c r="A3" s="205" t="s">
        <v>130</v>
      </c>
      <c r="B3" s="206" t="s">
        <v>132</v>
      </c>
    </row>
    <row r="4" spans="1:2">
      <c r="A4" s="182" t="s">
        <v>207</v>
      </c>
    </row>
    <row r="5" spans="1:2">
      <c r="A5" s="296" t="s">
        <v>33</v>
      </c>
      <c r="B5" s="206">
        <v>10.5</v>
      </c>
    </row>
    <row r="6" spans="1:2">
      <c r="A6" s="296" t="s">
        <v>27</v>
      </c>
      <c r="B6" s="206">
        <v>15</v>
      </c>
    </row>
    <row r="7" spans="1:2">
      <c r="A7" s="296" t="s">
        <v>28</v>
      </c>
      <c r="B7" s="206">
        <v>3</v>
      </c>
    </row>
    <row r="8" spans="1:2">
      <c r="A8" s="296" t="s">
        <v>21</v>
      </c>
      <c r="B8" s="206">
        <v>30.33</v>
      </c>
    </row>
    <row r="9" spans="1:2">
      <c r="A9" s="296" t="s">
        <v>31</v>
      </c>
    </row>
    <row r="10" spans="1:2">
      <c r="A10" s="296" t="s">
        <v>24</v>
      </c>
    </row>
    <row r="11" spans="1:2">
      <c r="A11" s="296" t="s">
        <v>19</v>
      </c>
      <c r="B11" s="206">
        <v>39.5</v>
      </c>
    </row>
    <row r="12" spans="1:2">
      <c r="A12" s="296" t="s">
        <v>30</v>
      </c>
      <c r="B12" s="206">
        <v>136.99</v>
      </c>
    </row>
    <row r="13" spans="1:2">
      <c r="A13" s="296" t="s">
        <v>54</v>
      </c>
    </row>
    <row r="14" spans="1:2">
      <c r="A14" s="296" t="s">
        <v>9</v>
      </c>
    </row>
    <row r="15" spans="1:2">
      <c r="A15" s="296" t="s">
        <v>42</v>
      </c>
    </row>
    <row r="16" spans="1:2">
      <c r="A16" s="296" t="s">
        <v>40</v>
      </c>
    </row>
    <row r="17" spans="1:2">
      <c r="A17" s="296" t="s">
        <v>55</v>
      </c>
    </row>
    <row r="18" spans="1:2">
      <c r="A18" s="296" t="s">
        <v>16</v>
      </c>
      <c r="B18" s="206">
        <v>155</v>
      </c>
    </row>
    <row r="19" spans="1:2">
      <c r="A19" s="296" t="s">
        <v>11</v>
      </c>
      <c r="B19" s="206">
        <v>0</v>
      </c>
    </row>
    <row r="20" spans="1:2">
      <c r="A20" s="296" t="s">
        <v>14</v>
      </c>
      <c r="B20" s="206">
        <v>88</v>
      </c>
    </row>
    <row r="21" spans="1:2">
      <c r="A21" s="296" t="s">
        <v>45</v>
      </c>
      <c r="B21" s="206">
        <v>1.5</v>
      </c>
    </row>
    <row r="22" spans="1:2">
      <c r="A22" s="296" t="s">
        <v>47</v>
      </c>
    </row>
    <row r="23" spans="1:2">
      <c r="A23" s="296" t="s">
        <v>23</v>
      </c>
      <c r="B23" s="206">
        <v>6795.08</v>
      </c>
    </row>
    <row r="24" spans="1:2">
      <c r="A24" s="296" t="s">
        <v>37</v>
      </c>
      <c r="B24" s="206">
        <v>70</v>
      </c>
    </row>
    <row r="25" spans="1:2">
      <c r="A25" s="296" t="s">
        <v>43</v>
      </c>
      <c r="B25" s="206">
        <v>213.49</v>
      </c>
    </row>
    <row r="26" spans="1:2">
      <c r="A26" s="296" t="s">
        <v>39</v>
      </c>
      <c r="B26" s="206">
        <v>8.31</v>
      </c>
    </row>
    <row r="27" spans="1:2">
      <c r="A27" s="296" t="s">
        <v>38</v>
      </c>
      <c r="B27" s="206">
        <v>68.260000000000005</v>
      </c>
    </row>
    <row r="28" spans="1:2">
      <c r="A28" s="296" t="s">
        <v>32</v>
      </c>
      <c r="B28" s="206">
        <v>564.72</v>
      </c>
    </row>
    <row r="29" spans="1:2">
      <c r="A29" s="296" t="s">
        <v>20</v>
      </c>
      <c r="B29" s="206">
        <v>18.899999999999999</v>
      </c>
    </row>
    <row r="30" spans="1:2">
      <c r="A30" s="296" t="s">
        <v>34</v>
      </c>
      <c r="B30" s="206">
        <v>17.36</v>
      </c>
    </row>
    <row r="31" spans="1:2">
      <c r="A31" s="296" t="s">
        <v>15</v>
      </c>
      <c r="B31" s="206">
        <v>3</v>
      </c>
    </row>
    <row r="32" spans="1:2">
      <c r="A32" s="296" t="s">
        <v>44</v>
      </c>
      <c r="B32" s="206">
        <v>8.98</v>
      </c>
    </row>
    <row r="33" spans="1:2">
      <c r="A33" s="296" t="s">
        <v>22</v>
      </c>
      <c r="B33" s="206">
        <v>6.54</v>
      </c>
    </row>
    <row r="34" spans="1:2">
      <c r="A34" s="296" t="s">
        <v>26</v>
      </c>
      <c r="B34" s="206">
        <v>1556.63</v>
      </c>
    </row>
    <row r="35" spans="1:2">
      <c r="A35" s="296" t="s">
        <v>35</v>
      </c>
      <c r="B35" s="206">
        <v>20.71</v>
      </c>
    </row>
    <row r="36" spans="1:2">
      <c r="A36" s="296" t="s">
        <v>36</v>
      </c>
      <c r="B36" s="206">
        <v>20.69</v>
      </c>
    </row>
    <row r="37" spans="1:2">
      <c r="A37" s="296" t="s">
        <v>29</v>
      </c>
      <c r="B37" s="206">
        <v>4.32</v>
      </c>
    </row>
    <row r="38" spans="1:2">
      <c r="A38" s="296" t="s">
        <v>41</v>
      </c>
      <c r="B38" s="206">
        <v>2258.17</v>
      </c>
    </row>
    <row r="39" spans="1:2">
      <c r="A39" s="296" t="s">
        <v>17</v>
      </c>
      <c r="B39" s="206">
        <v>67.55</v>
      </c>
    </row>
    <row r="40" spans="1:2">
      <c r="A40" s="296" t="s">
        <v>18</v>
      </c>
      <c r="B40" s="206">
        <v>47.78</v>
      </c>
    </row>
    <row r="41" spans="1:2">
      <c r="A41" s="182" t="s">
        <v>208</v>
      </c>
    </row>
    <row r="42" spans="1:2">
      <c r="A42" s="296" t="s">
        <v>53</v>
      </c>
      <c r="B42" s="206">
        <v>19.13</v>
      </c>
    </row>
    <row r="43" spans="1:2">
      <c r="A43" s="296" t="s">
        <v>31</v>
      </c>
      <c r="B43" s="206">
        <v>37.739999999999995</v>
      </c>
    </row>
    <row r="44" spans="1:2">
      <c r="A44" s="296" t="s">
        <v>70</v>
      </c>
      <c r="B44" s="206">
        <v>3.76</v>
      </c>
    </row>
    <row r="45" spans="1:2">
      <c r="A45" s="296" t="s">
        <v>59</v>
      </c>
      <c r="B45" s="206">
        <v>85.78</v>
      </c>
    </row>
    <row r="46" spans="1:2">
      <c r="A46" s="296" t="s">
        <v>63</v>
      </c>
      <c r="B46" s="206">
        <v>1.39</v>
      </c>
    </row>
    <row r="47" spans="1:2">
      <c r="A47" s="296" t="s">
        <v>48</v>
      </c>
      <c r="B47" s="206">
        <v>2.7</v>
      </c>
    </row>
    <row r="48" spans="1:2">
      <c r="A48" s="296" t="s">
        <v>64</v>
      </c>
    </row>
    <row r="49" spans="1:2">
      <c r="A49" s="296" t="s">
        <v>61</v>
      </c>
    </row>
    <row r="50" spans="1:2">
      <c r="A50" s="296" t="s">
        <v>9</v>
      </c>
    </row>
    <row r="51" spans="1:2">
      <c r="A51" s="296" t="s">
        <v>58</v>
      </c>
    </row>
    <row r="52" spans="1:2">
      <c r="A52" s="296" t="s">
        <v>69</v>
      </c>
    </row>
    <row r="53" spans="1:2">
      <c r="A53" s="296" t="s">
        <v>56</v>
      </c>
      <c r="B53" s="206">
        <v>2015</v>
      </c>
    </row>
    <row r="54" spans="1:2">
      <c r="A54" s="296" t="s">
        <v>73</v>
      </c>
    </row>
    <row r="55" spans="1:2">
      <c r="A55" s="296" t="s">
        <v>74</v>
      </c>
    </row>
    <row r="56" spans="1:2">
      <c r="A56" s="296" t="s">
        <v>47</v>
      </c>
    </row>
    <row r="57" spans="1:2">
      <c r="A57" s="296" t="s">
        <v>49</v>
      </c>
      <c r="B57" s="206">
        <v>37.130000000000003</v>
      </c>
    </row>
    <row r="58" spans="1:2">
      <c r="A58" s="296" t="s">
        <v>51</v>
      </c>
      <c r="B58" s="206">
        <v>28.37</v>
      </c>
    </row>
    <row r="59" spans="1:2">
      <c r="A59" s="296" t="s">
        <v>71</v>
      </c>
      <c r="B59" s="206">
        <v>39</v>
      </c>
    </row>
    <row r="60" spans="1:2">
      <c r="A60" s="296" t="s">
        <v>52</v>
      </c>
      <c r="B60" s="206">
        <v>13</v>
      </c>
    </row>
    <row r="61" spans="1:2">
      <c r="A61" s="296" t="s">
        <v>57</v>
      </c>
      <c r="B61" s="206">
        <v>5784.34</v>
      </c>
    </row>
    <row r="62" spans="1:2">
      <c r="A62" s="296" t="s">
        <v>65</v>
      </c>
      <c r="B62" s="206">
        <v>1000</v>
      </c>
    </row>
    <row r="63" spans="1:2">
      <c r="A63" s="296" t="s">
        <v>67</v>
      </c>
      <c r="B63" s="206">
        <v>0.55000000000000004</v>
      </c>
    </row>
    <row r="64" spans="1:2">
      <c r="A64" s="296" t="s">
        <v>66</v>
      </c>
      <c r="B64" s="206">
        <v>15.14</v>
      </c>
    </row>
    <row r="65" spans="1:2">
      <c r="A65" s="296" t="s">
        <v>68</v>
      </c>
      <c r="B65" s="206">
        <v>39.31</v>
      </c>
    </row>
    <row r="66" spans="1:2">
      <c r="A66" s="296" t="s">
        <v>60</v>
      </c>
      <c r="B66" s="206">
        <v>2</v>
      </c>
    </row>
    <row r="67" spans="1:2">
      <c r="A67" s="296" t="s">
        <v>62</v>
      </c>
      <c r="B67" s="206">
        <v>4968.83</v>
      </c>
    </row>
    <row r="68" spans="1:2">
      <c r="A68" s="182" t="s">
        <v>209</v>
      </c>
    </row>
    <row r="69" spans="1:2">
      <c r="A69" s="296" t="s">
        <v>82</v>
      </c>
      <c r="B69" s="206">
        <v>1.72</v>
      </c>
    </row>
    <row r="70" spans="1:2">
      <c r="A70" s="296" t="s">
        <v>94</v>
      </c>
      <c r="B70" s="206">
        <v>0.61</v>
      </c>
    </row>
    <row r="71" spans="1:2">
      <c r="A71" s="296" t="s">
        <v>31</v>
      </c>
      <c r="B71" s="206">
        <v>27.78</v>
      </c>
    </row>
    <row r="72" spans="1:2">
      <c r="A72" s="296" t="s">
        <v>108</v>
      </c>
      <c r="B72" s="206">
        <v>13.25</v>
      </c>
    </row>
    <row r="73" spans="1:2">
      <c r="A73" s="296" t="s">
        <v>100</v>
      </c>
      <c r="B73" s="206">
        <v>19.670000000000002</v>
      </c>
    </row>
    <row r="74" spans="1:2">
      <c r="A74" s="296" t="s">
        <v>90</v>
      </c>
      <c r="B74" s="206">
        <v>336.89</v>
      </c>
    </row>
    <row r="75" spans="1:2">
      <c r="A75" s="296" t="s">
        <v>109</v>
      </c>
      <c r="B75" s="206">
        <v>7.54</v>
      </c>
    </row>
    <row r="76" spans="1:2">
      <c r="A76" s="296" t="s">
        <v>80</v>
      </c>
      <c r="B76" s="206">
        <v>23.04</v>
      </c>
    </row>
    <row r="77" spans="1:2">
      <c r="A77" s="296" t="s">
        <v>81</v>
      </c>
      <c r="B77" s="206">
        <v>9.7799999999999994</v>
      </c>
    </row>
    <row r="78" spans="1:2">
      <c r="A78" s="296" t="s">
        <v>106</v>
      </c>
    </row>
    <row r="79" spans="1:2">
      <c r="A79" s="296" t="s">
        <v>111</v>
      </c>
    </row>
    <row r="80" spans="1:2">
      <c r="A80" s="296" t="s">
        <v>112</v>
      </c>
    </row>
    <row r="81" spans="1:2">
      <c r="A81" s="296" t="s">
        <v>93</v>
      </c>
    </row>
    <row r="82" spans="1:2">
      <c r="A82" s="296" t="s">
        <v>92</v>
      </c>
    </row>
    <row r="83" spans="1:2">
      <c r="A83" s="296" t="s">
        <v>105</v>
      </c>
      <c r="B83" s="206">
        <v>992.92</v>
      </c>
    </row>
    <row r="84" spans="1:2">
      <c r="A84" s="296" t="s">
        <v>107</v>
      </c>
      <c r="B84" s="206">
        <v>231.2</v>
      </c>
    </row>
    <row r="85" spans="1:2">
      <c r="A85" s="296" t="s">
        <v>98</v>
      </c>
      <c r="B85" s="206">
        <v>388.05</v>
      </c>
    </row>
    <row r="86" spans="1:2">
      <c r="A86" s="296" t="s">
        <v>83</v>
      </c>
      <c r="B86" s="206">
        <v>30.5</v>
      </c>
    </row>
    <row r="87" spans="1:2">
      <c r="A87" s="296" t="s">
        <v>87</v>
      </c>
      <c r="B87" s="206">
        <v>18.05</v>
      </c>
    </row>
    <row r="88" spans="1:2">
      <c r="A88" s="296" t="s">
        <v>88</v>
      </c>
      <c r="B88" s="206">
        <v>428.63</v>
      </c>
    </row>
    <row r="89" spans="1:2">
      <c r="A89" s="296" t="s">
        <v>86</v>
      </c>
      <c r="B89" s="206">
        <v>24.85</v>
      </c>
    </row>
    <row r="90" spans="1:2">
      <c r="A90" s="296" t="s">
        <v>101</v>
      </c>
      <c r="B90" s="206">
        <v>2993.13</v>
      </c>
    </row>
    <row r="91" spans="1:2">
      <c r="A91" s="296" t="s">
        <v>91</v>
      </c>
      <c r="B91" s="206">
        <v>1266.8</v>
      </c>
    </row>
    <row r="92" spans="1:2">
      <c r="A92" s="296" t="s">
        <v>113</v>
      </c>
    </row>
    <row r="93" spans="1:2">
      <c r="A93" s="296" t="s">
        <v>110</v>
      </c>
    </row>
    <row r="94" spans="1:2">
      <c r="A94" s="296" t="s">
        <v>99</v>
      </c>
      <c r="B94" s="206">
        <v>250</v>
      </c>
    </row>
    <row r="95" spans="1:2">
      <c r="A95" s="296" t="s">
        <v>97</v>
      </c>
      <c r="B95" s="206">
        <v>646.20000000000005</v>
      </c>
    </row>
    <row r="96" spans="1:2">
      <c r="A96" s="296" t="s">
        <v>96</v>
      </c>
      <c r="B96" s="206">
        <v>430.8</v>
      </c>
    </row>
    <row r="97" spans="1:2">
      <c r="A97" s="296" t="s">
        <v>102</v>
      </c>
      <c r="B97" s="206">
        <v>298.05</v>
      </c>
    </row>
    <row r="98" spans="1:2">
      <c r="A98" s="296" t="s">
        <v>103</v>
      </c>
      <c r="B98" s="206">
        <v>1306.47</v>
      </c>
    </row>
    <row r="99" spans="1:2">
      <c r="A99" s="296" t="s">
        <v>104</v>
      </c>
      <c r="B99" s="206">
        <v>87.1</v>
      </c>
    </row>
    <row r="100" spans="1:2">
      <c r="A100" s="296" t="s">
        <v>84</v>
      </c>
    </row>
    <row r="101" spans="1:2">
      <c r="A101" s="182" t="s">
        <v>131</v>
      </c>
      <c r="B101" s="206">
        <v>36156.51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8"/>
  <sheetViews>
    <sheetView zoomScaleNormal="100" workbookViewId="0">
      <selection activeCell="D25" sqref="D25"/>
    </sheetView>
  </sheetViews>
  <sheetFormatPr baseColWidth="10" defaultRowHeight="14.5"/>
  <cols>
    <col min="2" max="2" width="11" customWidth="1"/>
    <col min="3" max="3" width="29.54296875" customWidth="1"/>
    <col min="4" max="4" width="19.26953125" customWidth="1"/>
  </cols>
  <sheetData>
    <row r="1" spans="2:4" ht="40.5" customHeight="1" thickBot="1"/>
    <row r="2" spans="2:4" ht="45" customHeight="1" thickBot="1">
      <c r="B2" s="287"/>
      <c r="C2" s="288" t="s">
        <v>196</v>
      </c>
      <c r="D2" s="289"/>
    </row>
    <row r="3" spans="2:4" ht="15" thickBot="1">
      <c r="B3" s="15" t="s">
        <v>193</v>
      </c>
      <c r="C3" s="15" t="s">
        <v>194</v>
      </c>
      <c r="D3" s="117" t="s">
        <v>195</v>
      </c>
    </row>
    <row r="4" spans="2:4" ht="15" thickBot="1">
      <c r="B4" s="290">
        <v>46123</v>
      </c>
      <c r="C4" s="15" t="s">
        <v>197</v>
      </c>
      <c r="D4" s="291">
        <v>47643.32</v>
      </c>
    </row>
    <row r="5" spans="2:4" ht="15" thickBot="1">
      <c r="B5" s="290">
        <v>46141</v>
      </c>
      <c r="C5" s="15" t="s">
        <v>205</v>
      </c>
      <c r="D5" s="291">
        <v>58403.16</v>
      </c>
    </row>
    <row r="6" spans="2:4" ht="15" thickBot="1">
      <c r="B6" s="290">
        <v>46141</v>
      </c>
      <c r="C6" s="15" t="s">
        <v>206</v>
      </c>
      <c r="D6" s="291">
        <v>670949.79</v>
      </c>
    </row>
    <row r="7" spans="2:4" ht="15" thickBot="1">
      <c r="B7" s="290">
        <v>46148</v>
      </c>
      <c r="C7" s="15" t="s">
        <v>198</v>
      </c>
      <c r="D7" s="291">
        <v>11483.8</v>
      </c>
    </row>
    <row r="8" spans="2:4" ht="15" thickBot="1">
      <c r="B8" s="290">
        <v>46153</v>
      </c>
      <c r="C8" s="15" t="s">
        <v>204</v>
      </c>
      <c r="D8" s="291">
        <v>32529.94</v>
      </c>
    </row>
    <row r="9" spans="2:4" ht="15" thickBot="1">
      <c r="B9" s="290">
        <v>46158</v>
      </c>
      <c r="C9" s="15" t="s">
        <v>203</v>
      </c>
      <c r="D9" s="291">
        <v>96637.46</v>
      </c>
    </row>
    <row r="10" spans="2:4" ht="15" thickBot="1">
      <c r="B10" s="290">
        <v>46162</v>
      </c>
      <c r="C10" s="15" t="s">
        <v>202</v>
      </c>
      <c r="D10" s="291">
        <v>81892.92</v>
      </c>
    </row>
    <row r="11" spans="2:4" ht="15" thickBot="1">
      <c r="B11" s="290">
        <v>46163</v>
      </c>
      <c r="C11" s="15" t="s">
        <v>201</v>
      </c>
      <c r="D11" s="291">
        <v>62841</v>
      </c>
    </row>
    <row r="12" spans="2:4" ht="15" thickBot="1">
      <c r="B12" s="290">
        <v>46176</v>
      </c>
      <c r="C12" s="15" t="s">
        <v>199</v>
      </c>
      <c r="D12" s="292">
        <v>164854.66</v>
      </c>
    </row>
    <row r="13" spans="2:4" ht="15" thickBot="1">
      <c r="B13" s="293">
        <v>46176</v>
      </c>
      <c r="C13" s="112" t="s">
        <v>200</v>
      </c>
      <c r="D13" s="292">
        <v>163682.57</v>
      </c>
    </row>
    <row r="14" spans="2:4" ht="19" thickBot="1">
      <c r="B14" s="294"/>
      <c r="C14" s="117" t="s">
        <v>95</v>
      </c>
      <c r="D14" s="295">
        <f>D4+D5+D6+D7+D8+D9+D10+D11+D12+D13</f>
        <v>1390918.62</v>
      </c>
    </row>
    <row r="15" spans="2:4">
      <c r="B15" s="78"/>
      <c r="C15" s="78"/>
      <c r="D15" s="78"/>
    </row>
    <row r="16" spans="2:4">
      <c r="B16" s="78"/>
      <c r="C16" s="78"/>
      <c r="D16" s="78"/>
    </row>
    <row r="17" spans="2:4">
      <c r="B17" s="78"/>
      <c r="C17" s="78"/>
      <c r="D17" s="78"/>
    </row>
    <row r="18" spans="2:4">
      <c r="B18" s="78"/>
      <c r="C18" s="78"/>
      <c r="D18" s="78"/>
    </row>
    <row r="19" spans="2:4">
      <c r="B19" s="78"/>
      <c r="C19" s="78"/>
      <c r="D19" s="78"/>
    </row>
    <row r="20" spans="2:4">
      <c r="B20" s="78"/>
      <c r="C20" s="78"/>
      <c r="D20" s="78"/>
    </row>
    <row r="21" spans="2:4">
      <c r="B21" s="78"/>
      <c r="C21" s="78"/>
      <c r="D21" s="78"/>
    </row>
    <row r="22" spans="2:4">
      <c r="B22" s="78"/>
      <c r="C22" s="78"/>
      <c r="D22" s="78"/>
    </row>
    <row r="23" spans="2:4">
      <c r="B23" s="78"/>
      <c r="C23" s="78"/>
      <c r="D23" s="78"/>
    </row>
    <row r="24" spans="2:4">
      <c r="B24" s="78"/>
      <c r="C24" s="78"/>
      <c r="D24" s="78"/>
    </row>
    <row r="25" spans="2:4">
      <c r="B25" s="78"/>
      <c r="C25" s="78"/>
      <c r="D25" s="78"/>
    </row>
    <row r="26" spans="2:4">
      <c r="B26" s="78"/>
      <c r="C26" s="78"/>
      <c r="D26" s="78"/>
    </row>
    <row r="27" spans="2:4">
      <c r="B27" s="78"/>
      <c r="C27" s="78"/>
      <c r="D27" s="78"/>
    </row>
    <row r="28" spans="2:4">
      <c r="B28" s="78"/>
      <c r="C28" s="78"/>
      <c r="D28" s="7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N1240"/>
  <sheetViews>
    <sheetView tabSelected="1" topLeftCell="C233" zoomScaleNormal="100" workbookViewId="0">
      <selection activeCell="I237" sqref="I237"/>
    </sheetView>
  </sheetViews>
  <sheetFormatPr baseColWidth="10" defaultRowHeight="14.5"/>
  <cols>
    <col min="1" max="1" width="11.54296875" bestFit="1" customWidth="1"/>
    <col min="2" max="2" width="51.453125" bestFit="1" customWidth="1"/>
    <col min="3" max="3" width="29.7265625" customWidth="1"/>
    <col min="4" max="4" width="12.54296875" bestFit="1" customWidth="1"/>
    <col min="5" max="5" width="9.7265625" bestFit="1" customWidth="1"/>
    <col min="6" max="6" width="12.54296875" bestFit="1" customWidth="1"/>
    <col min="7" max="7" width="13.54296875" bestFit="1" customWidth="1"/>
    <col min="8" max="8" width="15.453125" bestFit="1" customWidth="1"/>
    <col min="9" max="9" width="14.1796875" bestFit="1" customWidth="1"/>
    <col min="10" max="10" width="28.26953125" customWidth="1"/>
  </cols>
  <sheetData>
    <row r="1" spans="1:14" ht="15" thickBot="1">
      <c r="A1" s="1"/>
      <c r="B1" s="2" t="s">
        <v>401</v>
      </c>
      <c r="C1" s="2" t="s">
        <v>46</v>
      </c>
      <c r="D1" s="2"/>
      <c r="E1" s="2"/>
      <c r="F1" s="2"/>
      <c r="G1" s="2"/>
      <c r="H1" s="183"/>
      <c r="I1" s="184"/>
      <c r="J1" s="185"/>
    </row>
    <row r="2" spans="1:14" ht="15" thickBot="1">
      <c r="A2" s="4" t="s">
        <v>1</v>
      </c>
      <c r="B2" s="4" t="s">
        <v>2</v>
      </c>
      <c r="C2" s="37" t="s">
        <v>3</v>
      </c>
      <c r="D2" s="38" t="s">
        <v>4</v>
      </c>
      <c r="E2" s="39" t="s">
        <v>5</v>
      </c>
      <c r="F2" s="39" t="s">
        <v>6</v>
      </c>
      <c r="G2" s="4" t="s">
        <v>7</v>
      </c>
      <c r="H2" s="9" t="s">
        <v>8</v>
      </c>
      <c r="I2" s="186" t="s">
        <v>115</v>
      </c>
      <c r="J2" s="187" t="s">
        <v>114</v>
      </c>
      <c r="K2" s="416" t="s">
        <v>441</v>
      </c>
      <c r="L2" s="416" t="s">
        <v>442</v>
      </c>
    </row>
    <row r="3" spans="1:14" ht="15" thickBot="1">
      <c r="A3" s="79">
        <v>46121</v>
      </c>
      <c r="B3" s="62" t="s">
        <v>9</v>
      </c>
      <c r="C3" s="80"/>
      <c r="D3" s="62"/>
      <c r="E3" s="80">
        <v>2000</v>
      </c>
      <c r="F3" s="80">
        <v>954535.95</v>
      </c>
      <c r="G3" s="80">
        <v>954535.95</v>
      </c>
      <c r="H3" s="81" t="s">
        <v>10</v>
      </c>
      <c r="I3" s="15" t="s">
        <v>127</v>
      </c>
      <c r="J3" s="117" t="s">
        <v>270</v>
      </c>
      <c r="K3" s="416" t="s">
        <v>127</v>
      </c>
      <c r="L3" s="15"/>
      <c r="M3" t="str">
        <f>IF(E3="","",IF(E3=F3,"OJOOO",""))</f>
        <v/>
      </c>
      <c r="N3" t="str">
        <f>IF(C3="","",IF(C3=D3,"OJOOO",""))</f>
        <v/>
      </c>
    </row>
    <row r="4" spans="1:14" ht="15" thickBot="1">
      <c r="A4" s="82">
        <v>46121</v>
      </c>
      <c r="B4" s="18" t="s">
        <v>11</v>
      </c>
      <c r="C4" s="83" t="s">
        <v>12</v>
      </c>
      <c r="D4" s="83">
        <v>43064.85</v>
      </c>
      <c r="E4" s="8"/>
      <c r="F4" s="8"/>
      <c r="G4" s="84">
        <f t="shared" ref="G4:G13" si="0">G3-D4</f>
        <v>911471.1</v>
      </c>
      <c r="H4" s="17" t="s">
        <v>13</v>
      </c>
      <c r="I4" s="186" t="s">
        <v>116</v>
      </c>
      <c r="J4" s="187" t="s">
        <v>20</v>
      </c>
      <c r="K4" s="15"/>
      <c r="L4" s="416" t="s">
        <v>437</v>
      </c>
      <c r="M4" t="str">
        <f t="shared" ref="M4:M27" si="1">IF(E4="","",IF(E4=F4,"OJOOO",""))</f>
        <v/>
      </c>
      <c r="N4" t="str">
        <f t="shared" ref="N4:N67" si="2">IF(C4="","",IF(C4=D4,"OJOOO",""))</f>
        <v/>
      </c>
    </row>
    <row r="5" spans="1:14" ht="15" thickBot="1">
      <c r="A5" s="82">
        <v>46122</v>
      </c>
      <c r="B5" s="18" t="s">
        <v>14</v>
      </c>
      <c r="C5" s="85">
        <v>88</v>
      </c>
      <c r="D5" s="83">
        <v>41925.839999999997</v>
      </c>
      <c r="E5" s="8"/>
      <c r="F5" s="8"/>
      <c r="G5" s="84">
        <f t="shared" si="0"/>
        <v>869545.26</v>
      </c>
      <c r="H5" s="17" t="s">
        <v>13</v>
      </c>
      <c r="I5" s="186" t="s">
        <v>116</v>
      </c>
      <c r="J5" s="187" t="s">
        <v>20</v>
      </c>
      <c r="K5" s="15"/>
      <c r="L5" s="416" t="s">
        <v>437</v>
      </c>
      <c r="M5" t="str">
        <f t="shared" si="1"/>
        <v/>
      </c>
      <c r="N5" t="str">
        <f t="shared" si="2"/>
        <v/>
      </c>
    </row>
    <row r="6" spans="1:14" ht="15" thickBot="1">
      <c r="A6" s="86">
        <v>46122</v>
      </c>
      <c r="B6" s="188" t="s">
        <v>15</v>
      </c>
      <c r="C6" s="85">
        <v>3</v>
      </c>
      <c r="D6" s="85">
        <v>1431</v>
      </c>
      <c r="E6" s="87"/>
      <c r="F6" s="87"/>
      <c r="G6" s="84">
        <f t="shared" si="0"/>
        <v>868114.26</v>
      </c>
      <c r="H6" s="88" t="s">
        <v>13</v>
      </c>
      <c r="I6" s="186" t="s">
        <v>116</v>
      </c>
      <c r="J6" s="187" t="s">
        <v>117</v>
      </c>
      <c r="K6" s="15"/>
      <c r="L6" s="416" t="s">
        <v>437</v>
      </c>
      <c r="M6" t="str">
        <f t="shared" si="1"/>
        <v/>
      </c>
      <c r="N6" t="str">
        <f t="shared" si="2"/>
        <v/>
      </c>
    </row>
    <row r="7" spans="1:14" ht="15" thickBot="1">
      <c r="A7" s="82">
        <v>46124</v>
      </c>
      <c r="B7" s="18" t="s">
        <v>16</v>
      </c>
      <c r="C7" s="85">
        <v>155</v>
      </c>
      <c r="D7" s="85">
        <v>73958.25</v>
      </c>
      <c r="E7" s="8"/>
      <c r="F7" s="8"/>
      <c r="G7" s="84">
        <f t="shared" si="0"/>
        <v>794156.01</v>
      </c>
      <c r="H7" s="17" t="s">
        <v>13</v>
      </c>
      <c r="I7" s="186" t="s">
        <v>116</v>
      </c>
      <c r="J7" s="187" t="s">
        <v>118</v>
      </c>
      <c r="K7" s="15"/>
      <c r="L7" s="416" t="s">
        <v>437</v>
      </c>
      <c r="M7" t="str">
        <f t="shared" si="1"/>
        <v/>
      </c>
      <c r="N7" t="str">
        <f t="shared" si="2"/>
        <v/>
      </c>
    </row>
    <row r="8" spans="1:14" ht="15" thickBot="1">
      <c r="A8" s="82">
        <v>46124</v>
      </c>
      <c r="B8" s="18" t="s">
        <v>17</v>
      </c>
      <c r="C8" s="85">
        <v>67.55</v>
      </c>
      <c r="D8" s="85">
        <v>32232.78</v>
      </c>
      <c r="E8" s="8"/>
      <c r="F8" s="8"/>
      <c r="G8" s="84">
        <f t="shared" si="0"/>
        <v>761923.23</v>
      </c>
      <c r="H8" s="17" t="s">
        <v>13</v>
      </c>
      <c r="I8" s="186" t="s">
        <v>116</v>
      </c>
      <c r="J8" s="187" t="s">
        <v>117</v>
      </c>
      <c r="K8" s="15"/>
      <c r="L8" s="416" t="s">
        <v>437</v>
      </c>
      <c r="M8" t="str">
        <f t="shared" si="1"/>
        <v/>
      </c>
      <c r="N8" t="str">
        <f t="shared" si="2"/>
        <v/>
      </c>
    </row>
    <row r="9" spans="1:14" ht="15" thickBot="1">
      <c r="A9" s="82">
        <v>46124</v>
      </c>
      <c r="B9" s="18" t="s">
        <v>18</v>
      </c>
      <c r="C9" s="85">
        <v>47.78</v>
      </c>
      <c r="D9" s="85">
        <v>22800</v>
      </c>
      <c r="E9" s="8"/>
      <c r="F9" s="8"/>
      <c r="G9" s="84">
        <f t="shared" si="0"/>
        <v>739123.23</v>
      </c>
      <c r="H9" s="17" t="s">
        <v>13</v>
      </c>
      <c r="I9" s="186" t="s">
        <v>116</v>
      </c>
      <c r="J9" s="187" t="s">
        <v>20</v>
      </c>
      <c r="K9" s="15"/>
      <c r="L9" s="416" t="s">
        <v>437</v>
      </c>
      <c r="M9" t="str">
        <f t="shared" si="1"/>
        <v/>
      </c>
      <c r="N9" t="str">
        <f t="shared" si="2"/>
        <v/>
      </c>
    </row>
    <row r="10" spans="1:14" ht="15" thickBot="1">
      <c r="A10" s="82">
        <v>46124</v>
      </c>
      <c r="B10" s="18" t="s">
        <v>19</v>
      </c>
      <c r="C10" s="89">
        <v>39.5</v>
      </c>
      <c r="D10" s="89">
        <v>18847.419999999998</v>
      </c>
      <c r="E10" s="8"/>
      <c r="F10" s="8"/>
      <c r="G10" s="84">
        <f t="shared" si="0"/>
        <v>720275.80999999994</v>
      </c>
      <c r="H10" s="17" t="s">
        <v>13</v>
      </c>
      <c r="I10" s="186" t="s">
        <v>116</v>
      </c>
      <c r="J10" s="187" t="s">
        <v>118</v>
      </c>
      <c r="K10" s="15"/>
      <c r="L10" s="416" t="s">
        <v>437</v>
      </c>
      <c r="M10" t="str">
        <f t="shared" si="1"/>
        <v/>
      </c>
      <c r="N10" t="str">
        <f t="shared" si="2"/>
        <v/>
      </c>
    </row>
    <row r="11" spans="1:14" ht="15" thickBot="1">
      <c r="A11" s="82">
        <v>46124</v>
      </c>
      <c r="B11" s="18" t="s">
        <v>20</v>
      </c>
      <c r="C11" s="85">
        <v>18.899999999999999</v>
      </c>
      <c r="D11" s="85">
        <v>9018.15</v>
      </c>
      <c r="E11" s="8"/>
      <c r="F11" s="8"/>
      <c r="G11" s="84">
        <f t="shared" si="0"/>
        <v>711257.65999999992</v>
      </c>
      <c r="H11" s="17" t="s">
        <v>13</v>
      </c>
      <c r="I11" s="186" t="s">
        <v>116</v>
      </c>
      <c r="J11" s="187" t="s">
        <v>20</v>
      </c>
      <c r="K11" s="15"/>
      <c r="L11" s="416" t="s">
        <v>437</v>
      </c>
      <c r="M11" t="str">
        <f t="shared" si="1"/>
        <v/>
      </c>
      <c r="N11" t="str">
        <f t="shared" si="2"/>
        <v/>
      </c>
    </row>
    <row r="12" spans="1:14" ht="15" thickBot="1">
      <c r="A12" s="82">
        <v>46125</v>
      </c>
      <c r="B12" s="18" t="s">
        <v>21</v>
      </c>
      <c r="C12" s="85">
        <v>30.33</v>
      </c>
      <c r="D12" s="85">
        <v>14471.95</v>
      </c>
      <c r="E12" s="8"/>
      <c r="F12" s="8"/>
      <c r="G12" s="84">
        <f t="shared" si="0"/>
        <v>696785.71</v>
      </c>
      <c r="H12" s="17" t="s">
        <v>13</v>
      </c>
      <c r="I12" s="186" t="s">
        <v>116</v>
      </c>
      <c r="J12" s="187" t="s">
        <v>117</v>
      </c>
      <c r="K12" s="15"/>
      <c r="L12" s="416" t="s">
        <v>437</v>
      </c>
      <c r="M12" t="str">
        <f t="shared" si="1"/>
        <v/>
      </c>
      <c r="N12" t="str">
        <f t="shared" si="2"/>
        <v/>
      </c>
    </row>
    <row r="13" spans="1:14" ht="15" thickBot="1">
      <c r="A13" s="82">
        <v>46125</v>
      </c>
      <c r="B13" s="18" t="s">
        <v>22</v>
      </c>
      <c r="C13" s="85">
        <v>6.54</v>
      </c>
      <c r="D13" s="85">
        <v>3125.33</v>
      </c>
      <c r="E13" s="8"/>
      <c r="F13" s="8"/>
      <c r="G13" s="84">
        <f t="shared" si="0"/>
        <v>693660.38</v>
      </c>
      <c r="H13" s="17" t="s">
        <v>13</v>
      </c>
      <c r="I13" s="186" t="s">
        <v>116</v>
      </c>
      <c r="J13" s="333" t="s">
        <v>269</v>
      </c>
      <c r="K13" s="15"/>
      <c r="L13" s="416" t="s">
        <v>437</v>
      </c>
      <c r="M13" t="str">
        <f t="shared" si="1"/>
        <v/>
      </c>
      <c r="N13" t="str">
        <f t="shared" si="2"/>
        <v/>
      </c>
    </row>
    <row r="14" spans="1:14" ht="15" thickBot="1">
      <c r="A14" s="79">
        <v>46126</v>
      </c>
      <c r="B14" s="189" t="s">
        <v>9</v>
      </c>
      <c r="C14" s="59"/>
      <c r="D14" s="67"/>
      <c r="E14" s="90">
        <v>1000</v>
      </c>
      <c r="F14" s="90">
        <v>477625.9</v>
      </c>
      <c r="G14" s="90">
        <f>G13+F14</f>
        <v>1171286.28</v>
      </c>
      <c r="H14" s="81" t="s">
        <v>10</v>
      </c>
      <c r="I14" s="15" t="s">
        <v>127</v>
      </c>
      <c r="J14" s="117" t="s">
        <v>270</v>
      </c>
      <c r="K14" s="416" t="s">
        <v>127</v>
      </c>
      <c r="L14" s="15"/>
      <c r="M14" t="str">
        <f t="shared" si="1"/>
        <v/>
      </c>
      <c r="N14" t="str">
        <f t="shared" si="2"/>
        <v/>
      </c>
    </row>
    <row r="15" spans="1:14" ht="15" thickBot="1">
      <c r="A15" s="79">
        <v>46126</v>
      </c>
      <c r="B15" s="189" t="s">
        <v>9</v>
      </c>
      <c r="C15" s="59"/>
      <c r="D15" s="67"/>
      <c r="E15" s="90">
        <v>1698.77</v>
      </c>
      <c r="F15" s="90">
        <v>811377</v>
      </c>
      <c r="G15" s="90">
        <f>G14+F15</f>
        <v>1982663.28</v>
      </c>
      <c r="H15" s="81" t="s">
        <v>10</v>
      </c>
      <c r="I15" s="15" t="s">
        <v>127</v>
      </c>
      <c r="J15" s="117" t="s">
        <v>270</v>
      </c>
      <c r="K15" s="416" t="s">
        <v>127</v>
      </c>
      <c r="L15" s="15"/>
      <c r="M15" t="str">
        <f t="shared" si="1"/>
        <v/>
      </c>
      <c r="N15" t="str">
        <f t="shared" si="2"/>
        <v/>
      </c>
    </row>
    <row r="16" spans="1:14" ht="15" thickBot="1">
      <c r="A16" s="79">
        <v>46126</v>
      </c>
      <c r="B16" s="189" t="s">
        <v>9</v>
      </c>
      <c r="C16" s="59"/>
      <c r="D16" s="67"/>
      <c r="E16" s="90">
        <v>1698.77</v>
      </c>
      <c r="F16" s="90">
        <v>811377</v>
      </c>
      <c r="G16" s="90">
        <f>G15+F16</f>
        <v>2794040.2800000003</v>
      </c>
      <c r="H16" s="81" t="s">
        <v>10</v>
      </c>
      <c r="I16" s="15" t="s">
        <v>127</v>
      </c>
      <c r="J16" s="117" t="s">
        <v>270</v>
      </c>
      <c r="K16" s="416" t="s">
        <v>127</v>
      </c>
      <c r="L16" s="15"/>
      <c r="M16" t="str">
        <f t="shared" si="1"/>
        <v/>
      </c>
      <c r="N16" t="str">
        <f t="shared" si="2"/>
        <v/>
      </c>
    </row>
    <row r="17" spans="1:14" ht="15" thickBot="1">
      <c r="A17" s="79">
        <v>46126</v>
      </c>
      <c r="B17" s="189" t="s">
        <v>9</v>
      </c>
      <c r="C17" s="59"/>
      <c r="D17" s="67"/>
      <c r="E17" s="90">
        <v>1698.77</v>
      </c>
      <c r="F17" s="90">
        <v>811377</v>
      </c>
      <c r="G17" s="90">
        <f t="shared" ref="G17:G18" si="3">G16+F17</f>
        <v>3605417.2800000003</v>
      </c>
      <c r="H17" s="81" t="s">
        <v>10</v>
      </c>
      <c r="I17" s="15" t="s">
        <v>127</v>
      </c>
      <c r="J17" s="117" t="s">
        <v>270</v>
      </c>
      <c r="K17" s="416" t="s">
        <v>127</v>
      </c>
      <c r="L17" s="15"/>
      <c r="M17" t="str">
        <f t="shared" si="1"/>
        <v/>
      </c>
      <c r="N17" t="str">
        <f t="shared" si="2"/>
        <v/>
      </c>
    </row>
    <row r="18" spans="1:14" ht="15" thickBot="1">
      <c r="A18" s="79">
        <v>46126</v>
      </c>
      <c r="B18" s="189" t="s">
        <v>9</v>
      </c>
      <c r="C18" s="59"/>
      <c r="D18" s="67"/>
      <c r="E18" s="90">
        <v>1698.77</v>
      </c>
      <c r="F18" s="90">
        <v>811377</v>
      </c>
      <c r="G18" s="90">
        <f t="shared" si="3"/>
        <v>4416794.28</v>
      </c>
      <c r="H18" s="81" t="s">
        <v>10</v>
      </c>
      <c r="I18" s="15" t="s">
        <v>127</v>
      </c>
      <c r="J18" s="117" t="s">
        <v>270</v>
      </c>
      <c r="K18" s="416" t="s">
        <v>127</v>
      </c>
      <c r="L18" s="15"/>
      <c r="M18" t="str">
        <f t="shared" si="1"/>
        <v/>
      </c>
      <c r="N18" t="str">
        <f t="shared" si="2"/>
        <v/>
      </c>
    </row>
    <row r="19" spans="1:14" ht="15" thickBot="1">
      <c r="A19" s="82">
        <v>46126</v>
      </c>
      <c r="B19" s="18" t="s">
        <v>23</v>
      </c>
      <c r="C19" s="85">
        <v>6795.08</v>
      </c>
      <c r="D19" s="85">
        <v>3245508</v>
      </c>
      <c r="E19" s="8"/>
      <c r="F19" s="8"/>
      <c r="G19" s="84">
        <f t="shared" ref="G19:G47" si="4">G18-D19</f>
        <v>1171286.2800000003</v>
      </c>
      <c r="H19" s="17" t="s">
        <v>10</v>
      </c>
      <c r="I19" s="186" t="s">
        <v>119</v>
      </c>
      <c r="J19" s="417" t="s">
        <v>444</v>
      </c>
      <c r="K19" s="15"/>
      <c r="L19" s="416" t="s">
        <v>437</v>
      </c>
      <c r="M19" t="str">
        <f t="shared" si="1"/>
        <v/>
      </c>
      <c r="N19" t="str">
        <f t="shared" si="2"/>
        <v/>
      </c>
    </row>
    <row r="20" spans="1:14" ht="15" thickBot="1">
      <c r="A20" s="82">
        <v>46126</v>
      </c>
      <c r="B20" s="18" t="s">
        <v>24</v>
      </c>
      <c r="C20" s="91"/>
      <c r="D20" s="19">
        <v>9736.52</v>
      </c>
      <c r="E20" s="15"/>
      <c r="F20" s="15"/>
      <c r="G20" s="33">
        <f t="shared" si="4"/>
        <v>1161549.7600000002</v>
      </c>
      <c r="H20" s="8" t="s">
        <v>25</v>
      </c>
      <c r="I20" s="416" t="s">
        <v>116</v>
      </c>
      <c r="J20" s="15" t="s">
        <v>117</v>
      </c>
      <c r="K20" s="15"/>
      <c r="L20" s="416" t="s">
        <v>437</v>
      </c>
      <c r="M20" t="str">
        <f t="shared" si="1"/>
        <v/>
      </c>
      <c r="N20" t="str">
        <f t="shared" si="2"/>
        <v/>
      </c>
    </row>
    <row r="21" spans="1:14" ht="15" thickBot="1">
      <c r="A21" s="82">
        <v>46126</v>
      </c>
      <c r="B21" s="190" t="s">
        <v>26</v>
      </c>
      <c r="C21" s="85">
        <v>1556.63</v>
      </c>
      <c r="D21" s="85">
        <v>753004.31</v>
      </c>
      <c r="E21" s="8"/>
      <c r="F21" s="8"/>
      <c r="G21" s="84">
        <f t="shared" si="4"/>
        <v>408545.45000000019</v>
      </c>
      <c r="H21" s="17" t="s">
        <v>10</v>
      </c>
      <c r="I21" s="186" t="s">
        <v>119</v>
      </c>
      <c r="J21" s="187" t="s">
        <v>121</v>
      </c>
      <c r="K21" s="15"/>
      <c r="L21" s="416" t="s">
        <v>437</v>
      </c>
      <c r="M21" t="str">
        <f t="shared" si="1"/>
        <v/>
      </c>
      <c r="N21" t="str">
        <f t="shared" si="2"/>
        <v/>
      </c>
    </row>
    <row r="22" spans="1:14" ht="15" thickBot="1">
      <c r="A22" s="82">
        <v>46126</v>
      </c>
      <c r="B22" s="18" t="s">
        <v>24</v>
      </c>
      <c r="C22" s="93"/>
      <c r="D22" s="85">
        <v>2259.0100000000002</v>
      </c>
      <c r="E22" s="8"/>
      <c r="F22" s="8"/>
      <c r="G22" s="84">
        <f t="shared" si="4"/>
        <v>406286.44000000018</v>
      </c>
      <c r="H22" s="17"/>
      <c r="I22" s="186" t="s">
        <v>119</v>
      </c>
      <c r="J22" s="187" t="s">
        <v>121</v>
      </c>
      <c r="K22" s="15"/>
      <c r="L22" s="416" t="s">
        <v>437</v>
      </c>
      <c r="M22" t="str">
        <f t="shared" si="1"/>
        <v/>
      </c>
      <c r="N22" t="str">
        <f t="shared" si="2"/>
        <v/>
      </c>
    </row>
    <row r="23" spans="1:14" ht="15" thickBot="1">
      <c r="A23" s="82">
        <v>46126</v>
      </c>
      <c r="B23" s="18" t="s">
        <v>27</v>
      </c>
      <c r="C23" s="85">
        <v>15</v>
      </c>
      <c r="D23" s="85">
        <v>7164.39</v>
      </c>
      <c r="E23" s="8"/>
      <c r="F23" s="8"/>
      <c r="G23" s="84">
        <f t="shared" si="4"/>
        <v>399122.05000000016</v>
      </c>
      <c r="H23" s="17" t="s">
        <v>10</v>
      </c>
      <c r="I23" s="186" t="s">
        <v>116</v>
      </c>
      <c r="J23" s="187" t="s">
        <v>117</v>
      </c>
      <c r="K23" s="15"/>
      <c r="L23" s="416" t="s">
        <v>437</v>
      </c>
      <c r="M23" t="str">
        <f t="shared" si="1"/>
        <v/>
      </c>
      <c r="N23" t="str">
        <f t="shared" si="2"/>
        <v/>
      </c>
    </row>
    <row r="24" spans="1:14" ht="15" thickBot="1">
      <c r="A24" s="82">
        <v>46126</v>
      </c>
      <c r="B24" s="18" t="s">
        <v>24</v>
      </c>
      <c r="C24" s="93"/>
      <c r="D24" s="85">
        <v>21.49</v>
      </c>
      <c r="E24" s="8"/>
      <c r="F24" s="8"/>
      <c r="G24" s="84">
        <f t="shared" si="4"/>
        <v>399100.56000000017</v>
      </c>
      <c r="H24" s="17"/>
      <c r="I24" s="186" t="s">
        <v>116</v>
      </c>
      <c r="J24" s="187" t="s">
        <v>117</v>
      </c>
      <c r="K24" s="15"/>
      <c r="L24" s="416" t="s">
        <v>437</v>
      </c>
      <c r="M24" t="str">
        <f t="shared" si="1"/>
        <v/>
      </c>
      <c r="N24" t="str">
        <f t="shared" si="2"/>
        <v/>
      </c>
    </row>
    <row r="25" spans="1:14" ht="15" thickBot="1">
      <c r="A25" s="82">
        <v>46126</v>
      </c>
      <c r="B25" s="18" t="s">
        <v>28</v>
      </c>
      <c r="C25" s="85">
        <v>3</v>
      </c>
      <c r="D25" s="85">
        <v>1433</v>
      </c>
      <c r="E25" s="8"/>
      <c r="F25" s="8"/>
      <c r="G25" s="84">
        <f t="shared" si="4"/>
        <v>397667.56000000017</v>
      </c>
      <c r="H25" s="17" t="s">
        <v>10</v>
      </c>
      <c r="I25" s="186" t="s">
        <v>116</v>
      </c>
      <c r="J25" s="187" t="s">
        <v>117</v>
      </c>
      <c r="K25" s="15"/>
      <c r="L25" s="416" t="s">
        <v>437</v>
      </c>
      <c r="M25" t="str">
        <f t="shared" si="1"/>
        <v/>
      </c>
      <c r="N25" t="str">
        <f t="shared" si="2"/>
        <v/>
      </c>
    </row>
    <row r="26" spans="1:14" ht="15" thickBot="1">
      <c r="A26" s="82">
        <v>46126</v>
      </c>
      <c r="B26" s="18" t="s">
        <v>24</v>
      </c>
      <c r="C26" s="85"/>
      <c r="D26" s="85">
        <v>4.29</v>
      </c>
      <c r="E26" s="8"/>
      <c r="F26" s="8"/>
      <c r="G26" s="84">
        <f t="shared" si="4"/>
        <v>397663.27000000019</v>
      </c>
      <c r="H26" s="17" t="s">
        <v>25</v>
      </c>
      <c r="I26" s="186" t="s">
        <v>116</v>
      </c>
      <c r="J26" s="187" t="s">
        <v>117</v>
      </c>
      <c r="K26" s="15"/>
      <c r="L26" s="416" t="s">
        <v>437</v>
      </c>
      <c r="M26" t="str">
        <f t="shared" si="1"/>
        <v/>
      </c>
      <c r="N26" t="str">
        <f t="shared" si="2"/>
        <v/>
      </c>
    </row>
    <row r="27" spans="1:14" ht="29.5" thickBot="1">
      <c r="A27" s="94">
        <v>46126</v>
      </c>
      <c r="B27" s="191" t="s">
        <v>29</v>
      </c>
      <c r="C27" s="37">
        <v>4.32</v>
      </c>
      <c r="D27" s="37">
        <v>2063.3000000000002</v>
      </c>
      <c r="E27" s="4"/>
      <c r="F27" s="4"/>
      <c r="G27" s="96">
        <f t="shared" si="4"/>
        <v>395599.9700000002</v>
      </c>
      <c r="H27" s="9" t="s">
        <v>10</v>
      </c>
      <c r="I27" s="186" t="s">
        <v>119</v>
      </c>
      <c r="J27" s="187" t="s">
        <v>121</v>
      </c>
      <c r="K27" s="15"/>
      <c r="L27" s="416" t="s">
        <v>437</v>
      </c>
      <c r="M27" t="str">
        <f t="shared" si="1"/>
        <v/>
      </c>
      <c r="N27" t="str">
        <f t="shared" si="2"/>
        <v/>
      </c>
    </row>
    <row r="28" spans="1:14" ht="15" thickBot="1">
      <c r="A28" s="10">
        <v>46126</v>
      </c>
      <c r="B28" s="192" t="s">
        <v>24</v>
      </c>
      <c r="C28" s="97"/>
      <c r="D28" s="98">
        <v>6.18</v>
      </c>
      <c r="E28" s="8"/>
      <c r="F28" s="8"/>
      <c r="G28" s="84">
        <f t="shared" si="4"/>
        <v>395593.79000000021</v>
      </c>
      <c r="H28" s="8" t="s">
        <v>25</v>
      </c>
      <c r="I28" s="186" t="s">
        <v>119</v>
      </c>
      <c r="J28" s="187" t="s">
        <v>121</v>
      </c>
      <c r="K28" s="15"/>
      <c r="L28" s="416" t="s">
        <v>437</v>
      </c>
      <c r="M28" t="str">
        <f t="shared" ref="M28:M83" si="5">IF(E28="","",IF(E28=F28,"OJOOO",""))</f>
        <v/>
      </c>
      <c r="N28" t="str">
        <f t="shared" si="2"/>
        <v/>
      </c>
    </row>
    <row r="29" spans="1:14" ht="15" thickBot="1">
      <c r="A29" s="10">
        <v>46127</v>
      </c>
      <c r="B29" s="192" t="s">
        <v>30</v>
      </c>
      <c r="C29" s="30">
        <v>136.99</v>
      </c>
      <c r="D29" s="98">
        <v>65559.09</v>
      </c>
      <c r="E29" s="15"/>
      <c r="F29" s="15"/>
      <c r="G29" s="33">
        <f t="shared" si="4"/>
        <v>330034.70000000019</v>
      </c>
      <c r="H29" s="17" t="s">
        <v>10</v>
      </c>
      <c r="I29" s="186" t="s">
        <v>119</v>
      </c>
      <c r="J29" s="187" t="s">
        <v>118</v>
      </c>
      <c r="K29" s="15"/>
      <c r="L29" s="416" t="s">
        <v>437</v>
      </c>
      <c r="M29" t="str">
        <f t="shared" si="5"/>
        <v/>
      </c>
      <c r="N29" t="str">
        <f t="shared" si="2"/>
        <v/>
      </c>
    </row>
    <row r="30" spans="1:14" ht="15" thickBot="1">
      <c r="A30" s="10">
        <v>46127</v>
      </c>
      <c r="B30" s="192" t="s">
        <v>31</v>
      </c>
      <c r="C30" s="98"/>
      <c r="D30" s="99">
        <v>196.67</v>
      </c>
      <c r="E30" s="15"/>
      <c r="F30" s="15"/>
      <c r="G30" s="33">
        <f t="shared" si="4"/>
        <v>329838.0300000002</v>
      </c>
      <c r="H30" s="17" t="s">
        <v>25</v>
      </c>
      <c r="I30" s="186" t="s">
        <v>119</v>
      </c>
      <c r="J30" s="187" t="s">
        <v>118</v>
      </c>
      <c r="K30" s="15"/>
      <c r="L30" s="416" t="s">
        <v>437</v>
      </c>
      <c r="M30" t="str">
        <f t="shared" si="5"/>
        <v/>
      </c>
      <c r="N30" t="str">
        <f t="shared" si="2"/>
        <v/>
      </c>
    </row>
    <row r="31" spans="1:14" ht="15" thickBot="1">
      <c r="A31" s="100">
        <v>46132</v>
      </c>
      <c r="B31" s="193" t="s">
        <v>32</v>
      </c>
      <c r="C31" s="101">
        <v>35.700000000000003</v>
      </c>
      <c r="D31" s="13">
        <v>17177.400000000001</v>
      </c>
      <c r="E31" s="102"/>
      <c r="F31" s="102"/>
      <c r="G31" s="103">
        <f t="shared" si="4"/>
        <v>312660.63000000018</v>
      </c>
      <c r="H31" s="9" t="s">
        <v>10</v>
      </c>
      <c r="I31" s="332" t="s">
        <v>266</v>
      </c>
      <c r="J31" s="333" t="s">
        <v>268</v>
      </c>
      <c r="K31" s="15"/>
      <c r="L31" s="416" t="s">
        <v>437</v>
      </c>
      <c r="M31" t="str">
        <f t="shared" si="5"/>
        <v/>
      </c>
      <c r="N31" t="str">
        <f t="shared" si="2"/>
        <v/>
      </c>
    </row>
    <row r="32" spans="1:14" ht="15" thickBot="1">
      <c r="A32" s="10">
        <v>46133</v>
      </c>
      <c r="B32" s="192" t="s">
        <v>32</v>
      </c>
      <c r="C32" s="30">
        <v>408.9</v>
      </c>
      <c r="D32" s="98">
        <v>196967.52</v>
      </c>
      <c r="E32" s="15"/>
      <c r="F32" s="15"/>
      <c r="G32" s="33">
        <f t="shared" si="4"/>
        <v>115693.11000000019</v>
      </c>
      <c r="H32" s="104" t="s">
        <v>10</v>
      </c>
      <c r="I32" s="332" t="s">
        <v>266</v>
      </c>
      <c r="J32" s="333" t="s">
        <v>268</v>
      </c>
      <c r="K32" s="15"/>
      <c r="L32" s="416" t="s">
        <v>437</v>
      </c>
      <c r="M32" t="str">
        <f t="shared" si="5"/>
        <v/>
      </c>
      <c r="N32" t="str">
        <f t="shared" si="2"/>
        <v/>
      </c>
    </row>
    <row r="33" spans="1:14" ht="15" thickBot="1">
      <c r="A33" s="82">
        <v>46133</v>
      </c>
      <c r="B33" s="193" t="s">
        <v>31</v>
      </c>
      <c r="C33" s="105"/>
      <c r="D33" s="38">
        <v>25.14</v>
      </c>
      <c r="E33" s="102"/>
      <c r="F33" s="102"/>
      <c r="G33" s="103">
        <f t="shared" si="4"/>
        <v>115667.97000000019</v>
      </c>
      <c r="H33" s="106" t="s">
        <v>25</v>
      </c>
      <c r="I33" s="186" t="s">
        <v>116</v>
      </c>
      <c r="J33" s="187" t="s">
        <v>20</v>
      </c>
      <c r="K33" s="15"/>
      <c r="L33" s="416" t="s">
        <v>437</v>
      </c>
      <c r="M33" t="str">
        <f t="shared" si="5"/>
        <v/>
      </c>
      <c r="N33" t="str">
        <f t="shared" si="2"/>
        <v/>
      </c>
    </row>
    <row r="34" spans="1:14" ht="15" thickBot="1">
      <c r="A34" s="107">
        <v>46133</v>
      </c>
      <c r="B34" s="194" t="s">
        <v>31</v>
      </c>
      <c r="C34" s="109"/>
      <c r="D34" s="110">
        <v>15.17</v>
      </c>
      <c r="E34" s="111"/>
      <c r="F34" s="112"/>
      <c r="G34" s="113">
        <f t="shared" si="4"/>
        <v>115652.80000000019</v>
      </c>
      <c r="H34" s="114" t="s">
        <v>25</v>
      </c>
      <c r="I34" s="186" t="s">
        <v>116</v>
      </c>
      <c r="J34" s="187" t="s">
        <v>20</v>
      </c>
      <c r="K34" s="15"/>
      <c r="L34" s="416" t="s">
        <v>437</v>
      </c>
      <c r="M34" t="str">
        <f t="shared" si="5"/>
        <v/>
      </c>
      <c r="N34" t="str">
        <f t="shared" si="2"/>
        <v/>
      </c>
    </row>
    <row r="35" spans="1:14" ht="15" thickBot="1">
      <c r="A35" s="10">
        <v>46133</v>
      </c>
      <c r="B35" s="192" t="s">
        <v>33</v>
      </c>
      <c r="C35" s="30">
        <v>10.5</v>
      </c>
      <c r="D35" s="98">
        <v>5058.8</v>
      </c>
      <c r="E35" s="14"/>
      <c r="F35" s="15"/>
      <c r="G35" s="33">
        <f t="shared" si="4"/>
        <v>110594.00000000019</v>
      </c>
      <c r="H35" s="104" t="s">
        <v>10</v>
      </c>
      <c r="I35" s="186" t="s">
        <v>119</v>
      </c>
      <c r="J35" s="187" t="s">
        <v>118</v>
      </c>
      <c r="K35" s="15"/>
      <c r="L35" s="416" t="s">
        <v>437</v>
      </c>
      <c r="M35" t="str">
        <f t="shared" si="5"/>
        <v/>
      </c>
      <c r="N35" t="str">
        <f t="shared" si="2"/>
        <v/>
      </c>
    </row>
    <row r="36" spans="1:14" ht="15" thickBot="1">
      <c r="A36" s="100">
        <v>46133</v>
      </c>
      <c r="B36" s="193" t="s">
        <v>31</v>
      </c>
      <c r="C36" s="105"/>
      <c r="D36" s="38">
        <v>15.17</v>
      </c>
      <c r="E36" s="15"/>
      <c r="F36" s="115"/>
      <c r="G36" s="103">
        <f t="shared" si="4"/>
        <v>110578.83000000019</v>
      </c>
      <c r="H36" s="106" t="s">
        <v>25</v>
      </c>
      <c r="I36" s="186" t="s">
        <v>119</v>
      </c>
      <c r="J36" s="187" t="s">
        <v>118</v>
      </c>
      <c r="K36" s="15"/>
      <c r="L36" s="416" t="s">
        <v>437</v>
      </c>
      <c r="M36" t="str">
        <f t="shared" si="5"/>
        <v/>
      </c>
      <c r="N36" t="str">
        <f t="shared" si="2"/>
        <v/>
      </c>
    </row>
    <row r="37" spans="1:14" ht="15" thickBot="1">
      <c r="A37" s="10">
        <v>46134</v>
      </c>
      <c r="B37" s="192" t="s">
        <v>34</v>
      </c>
      <c r="C37" s="30">
        <v>17.36</v>
      </c>
      <c r="D37" s="98">
        <v>8381.58</v>
      </c>
      <c r="E37" s="15"/>
      <c r="F37" s="15"/>
      <c r="G37" s="33">
        <f t="shared" si="4"/>
        <v>102197.25000000019</v>
      </c>
      <c r="H37" s="17" t="s">
        <v>10</v>
      </c>
      <c r="I37" s="186" t="s">
        <v>116</v>
      </c>
      <c r="J37" s="333" t="s">
        <v>269</v>
      </c>
      <c r="K37" s="15"/>
      <c r="L37" s="416" t="s">
        <v>437</v>
      </c>
      <c r="M37" t="str">
        <f t="shared" si="5"/>
        <v/>
      </c>
      <c r="N37" t="str">
        <f t="shared" si="2"/>
        <v/>
      </c>
    </row>
    <row r="38" spans="1:14" ht="15" thickBot="1">
      <c r="A38" s="100">
        <v>46134</v>
      </c>
      <c r="B38" s="193" t="s">
        <v>31</v>
      </c>
      <c r="C38" s="105"/>
      <c r="D38" s="38">
        <v>25.14</v>
      </c>
      <c r="E38" s="102"/>
      <c r="F38" s="102"/>
      <c r="G38" s="103">
        <f t="shared" si="4"/>
        <v>102172.11000000019</v>
      </c>
      <c r="H38" s="9" t="s">
        <v>25</v>
      </c>
      <c r="I38" s="186" t="s">
        <v>116</v>
      </c>
      <c r="J38" s="187" t="s">
        <v>117</v>
      </c>
      <c r="K38" s="15"/>
      <c r="L38" s="416" t="s">
        <v>437</v>
      </c>
      <c r="M38" t="str">
        <f t="shared" si="5"/>
        <v/>
      </c>
      <c r="N38" t="str">
        <f t="shared" si="2"/>
        <v/>
      </c>
    </row>
    <row r="39" spans="1:14" ht="15" thickBot="1">
      <c r="A39" s="10">
        <v>46134</v>
      </c>
      <c r="B39" s="192" t="s">
        <v>35</v>
      </c>
      <c r="C39" s="30">
        <v>20.71</v>
      </c>
      <c r="D39" s="98">
        <v>10000</v>
      </c>
      <c r="E39" s="15"/>
      <c r="F39" s="14"/>
      <c r="G39" s="116">
        <f t="shared" si="4"/>
        <v>92172.11000000019</v>
      </c>
      <c r="H39" s="104" t="s">
        <v>10</v>
      </c>
      <c r="I39" s="186" t="s">
        <v>116</v>
      </c>
      <c r="J39" s="187" t="s">
        <v>117</v>
      </c>
      <c r="K39" s="15"/>
      <c r="L39" s="416" t="s">
        <v>437</v>
      </c>
      <c r="M39" t="str">
        <f t="shared" si="5"/>
        <v/>
      </c>
      <c r="N39" t="str">
        <f t="shared" si="2"/>
        <v/>
      </c>
    </row>
    <row r="40" spans="1:14" ht="15" thickBot="1">
      <c r="A40" s="10">
        <v>46134</v>
      </c>
      <c r="B40" s="192" t="s">
        <v>31</v>
      </c>
      <c r="C40" s="30"/>
      <c r="D40" s="98">
        <v>30</v>
      </c>
      <c r="E40" s="14"/>
      <c r="F40" s="15"/>
      <c r="G40" s="33">
        <f t="shared" si="4"/>
        <v>92142.11000000019</v>
      </c>
      <c r="H40" s="17" t="s">
        <v>25</v>
      </c>
      <c r="I40" s="186" t="s">
        <v>116</v>
      </c>
      <c r="J40" s="187" t="s">
        <v>117</v>
      </c>
      <c r="K40" s="15"/>
      <c r="L40" s="416" t="s">
        <v>437</v>
      </c>
      <c r="M40" t="str">
        <f t="shared" si="5"/>
        <v/>
      </c>
      <c r="N40" t="str">
        <f t="shared" si="2"/>
        <v/>
      </c>
    </row>
    <row r="41" spans="1:14" ht="15" thickBot="1">
      <c r="A41" s="82">
        <v>46135</v>
      </c>
      <c r="B41" s="18" t="s">
        <v>36</v>
      </c>
      <c r="C41" s="19">
        <v>20.69</v>
      </c>
      <c r="D41" s="19">
        <v>10000</v>
      </c>
      <c r="E41" s="15"/>
      <c r="F41" s="15"/>
      <c r="G41" s="33">
        <f t="shared" si="4"/>
        <v>82142.11000000019</v>
      </c>
      <c r="H41" s="117" t="s">
        <v>10</v>
      </c>
      <c r="I41" s="186" t="s">
        <v>116</v>
      </c>
      <c r="J41" s="187" t="s">
        <v>117</v>
      </c>
      <c r="K41" s="15"/>
      <c r="L41" s="416" t="s">
        <v>437</v>
      </c>
      <c r="M41" t="str">
        <f t="shared" si="5"/>
        <v/>
      </c>
      <c r="N41" t="str">
        <f t="shared" si="2"/>
        <v/>
      </c>
    </row>
    <row r="42" spans="1:14" ht="15" thickBot="1">
      <c r="A42" s="82">
        <v>46135</v>
      </c>
      <c r="B42" s="18" t="s">
        <v>31</v>
      </c>
      <c r="C42" s="19"/>
      <c r="D42" s="19">
        <v>30</v>
      </c>
      <c r="E42" s="15"/>
      <c r="F42" s="15"/>
      <c r="G42" s="33">
        <f t="shared" si="4"/>
        <v>82112.11000000019</v>
      </c>
      <c r="H42" s="17" t="s">
        <v>25</v>
      </c>
      <c r="I42" s="186" t="s">
        <v>116</v>
      </c>
      <c r="J42" s="187" t="s">
        <v>117</v>
      </c>
      <c r="K42" s="15"/>
      <c r="L42" s="416" t="s">
        <v>437</v>
      </c>
      <c r="M42" t="str">
        <f t="shared" si="5"/>
        <v/>
      </c>
      <c r="N42" t="str">
        <f t="shared" si="2"/>
        <v/>
      </c>
    </row>
    <row r="43" spans="1:14" ht="15" thickBot="1">
      <c r="A43" s="100">
        <v>46136</v>
      </c>
      <c r="B43" s="193" t="s">
        <v>37</v>
      </c>
      <c r="C43" s="105">
        <v>70</v>
      </c>
      <c r="D43" s="38">
        <v>33870.870000000003</v>
      </c>
      <c r="E43" s="118"/>
      <c r="F43" s="15"/>
      <c r="G43" s="33">
        <f t="shared" si="4"/>
        <v>48241.240000000187</v>
      </c>
      <c r="H43" s="106" t="s">
        <v>10</v>
      </c>
      <c r="I43" s="186" t="s">
        <v>119</v>
      </c>
      <c r="J43" s="417" t="s">
        <v>445</v>
      </c>
      <c r="K43" s="15"/>
      <c r="L43" s="416" t="s">
        <v>437</v>
      </c>
      <c r="M43" t="str">
        <f t="shared" si="5"/>
        <v/>
      </c>
      <c r="N43" t="str">
        <f t="shared" si="2"/>
        <v/>
      </c>
    </row>
    <row r="44" spans="1:14" ht="15" thickBot="1">
      <c r="A44" s="10">
        <v>46136</v>
      </c>
      <c r="B44" s="192" t="s">
        <v>31</v>
      </c>
      <c r="C44" s="119"/>
      <c r="D44" s="98">
        <v>101.61</v>
      </c>
      <c r="E44" s="14"/>
      <c r="F44" s="15"/>
      <c r="G44" s="33">
        <f t="shared" si="4"/>
        <v>48139.630000000187</v>
      </c>
      <c r="H44" s="17" t="s">
        <v>25</v>
      </c>
      <c r="I44" s="186" t="s">
        <v>119</v>
      </c>
      <c r="J44" s="417" t="s">
        <v>445</v>
      </c>
      <c r="K44" s="15"/>
      <c r="L44" s="416" t="s">
        <v>437</v>
      </c>
      <c r="M44" t="str">
        <f t="shared" si="5"/>
        <v/>
      </c>
      <c r="N44" t="str">
        <f t="shared" si="2"/>
        <v/>
      </c>
    </row>
    <row r="45" spans="1:14" ht="15" thickBot="1">
      <c r="A45" s="10">
        <v>46139</v>
      </c>
      <c r="B45" s="195" t="s">
        <v>38</v>
      </c>
      <c r="C45" s="12">
        <v>68.260000000000005</v>
      </c>
      <c r="D45" s="98">
        <v>33186.68</v>
      </c>
      <c r="E45" s="15"/>
      <c r="F45" s="14"/>
      <c r="G45" s="33">
        <f t="shared" si="4"/>
        <v>14952.950000000186</v>
      </c>
      <c r="H45" s="17" t="s">
        <v>10</v>
      </c>
      <c r="I45" s="186" t="s">
        <v>116</v>
      </c>
      <c r="J45" s="417" t="s">
        <v>20</v>
      </c>
      <c r="K45" s="15"/>
      <c r="L45" s="416" t="s">
        <v>437</v>
      </c>
      <c r="M45" t="str">
        <f t="shared" si="5"/>
        <v/>
      </c>
      <c r="N45" t="str">
        <f t="shared" si="2"/>
        <v/>
      </c>
    </row>
    <row r="46" spans="1:14" ht="15" thickBot="1">
      <c r="A46" s="10">
        <v>46139</v>
      </c>
      <c r="B46" s="192" t="s">
        <v>31</v>
      </c>
      <c r="C46" s="14"/>
      <c r="D46" s="98">
        <v>99.56</v>
      </c>
      <c r="E46" s="15"/>
      <c r="F46" s="14"/>
      <c r="G46" s="33">
        <f t="shared" si="4"/>
        <v>14853.390000000187</v>
      </c>
      <c r="H46" s="17" t="s">
        <v>25</v>
      </c>
      <c r="I46" s="186" t="s">
        <v>116</v>
      </c>
      <c r="J46" s="187" t="s">
        <v>20</v>
      </c>
      <c r="K46" s="15"/>
      <c r="L46" s="416" t="s">
        <v>437</v>
      </c>
      <c r="M46" t="str">
        <f t="shared" si="5"/>
        <v/>
      </c>
      <c r="N46" t="str">
        <f t="shared" si="2"/>
        <v/>
      </c>
    </row>
    <row r="47" spans="1:14" ht="15" thickBot="1">
      <c r="A47" s="10">
        <v>46139</v>
      </c>
      <c r="B47" s="196" t="s">
        <v>39</v>
      </c>
      <c r="C47" s="77">
        <v>8.31</v>
      </c>
      <c r="D47" s="98">
        <v>4027.24</v>
      </c>
      <c r="E47" s="14"/>
      <c r="F47" s="15"/>
      <c r="G47" s="33">
        <f t="shared" si="4"/>
        <v>10826.150000000187</v>
      </c>
      <c r="H47" s="17" t="s">
        <v>13</v>
      </c>
      <c r="I47" s="186" t="s">
        <v>119</v>
      </c>
      <c r="J47" s="187" t="s">
        <v>118</v>
      </c>
      <c r="K47" s="15"/>
      <c r="L47" s="416" t="s">
        <v>437</v>
      </c>
      <c r="M47" t="str">
        <f t="shared" si="5"/>
        <v/>
      </c>
      <c r="N47" t="str">
        <f t="shared" si="2"/>
        <v/>
      </c>
    </row>
    <row r="48" spans="1:14" ht="15" thickBot="1">
      <c r="A48" s="79">
        <v>46141</v>
      </c>
      <c r="B48" s="189" t="s">
        <v>40</v>
      </c>
      <c r="C48" s="67"/>
      <c r="D48" s="63"/>
      <c r="E48" s="68">
        <v>1223.6199999999999</v>
      </c>
      <c r="F48" s="68">
        <v>594917.63</v>
      </c>
      <c r="G48" s="61">
        <f>G47+F48</f>
        <v>605743.78000000014</v>
      </c>
      <c r="H48" s="81" t="s">
        <v>10</v>
      </c>
      <c r="I48" s="15" t="s">
        <v>127</v>
      </c>
      <c r="J48" s="117" t="s">
        <v>270</v>
      </c>
      <c r="K48" s="416" t="s">
        <v>127</v>
      </c>
      <c r="L48" s="15"/>
      <c r="M48" t="str">
        <f t="shared" si="5"/>
        <v/>
      </c>
      <c r="N48" t="str">
        <f t="shared" si="2"/>
        <v/>
      </c>
    </row>
    <row r="49" spans="1:14" ht="15" thickBot="1">
      <c r="A49" s="122">
        <v>46141</v>
      </c>
      <c r="B49" s="197" t="s">
        <v>40</v>
      </c>
      <c r="C49" s="63"/>
      <c r="D49" s="63"/>
      <c r="E49" s="68">
        <v>1223.6199999999999</v>
      </c>
      <c r="F49" s="68">
        <v>594917.63</v>
      </c>
      <c r="G49" s="61">
        <f>G48+F49</f>
        <v>1200661.4100000001</v>
      </c>
      <c r="H49" s="62" t="s">
        <v>10</v>
      </c>
      <c r="I49" s="15" t="s">
        <v>127</v>
      </c>
      <c r="J49" s="117" t="s">
        <v>270</v>
      </c>
      <c r="K49" s="416" t="s">
        <v>127</v>
      </c>
      <c r="L49" s="15"/>
      <c r="M49" t="str">
        <f t="shared" si="5"/>
        <v/>
      </c>
      <c r="N49" t="str">
        <f t="shared" si="2"/>
        <v/>
      </c>
    </row>
    <row r="50" spans="1:14" ht="15" thickBot="1">
      <c r="A50" s="82">
        <v>46141</v>
      </c>
      <c r="B50" s="18" t="s">
        <v>32</v>
      </c>
      <c r="C50" s="13">
        <v>120.12</v>
      </c>
      <c r="D50" s="98">
        <v>58403.16</v>
      </c>
      <c r="E50" s="15"/>
      <c r="F50" s="15"/>
      <c r="G50" s="33">
        <f>G49-D50</f>
        <v>1142258.2500000002</v>
      </c>
      <c r="H50" s="8" t="s">
        <v>10</v>
      </c>
      <c r="I50" s="332" t="s">
        <v>266</v>
      </c>
      <c r="J50" s="333" t="s">
        <v>268</v>
      </c>
      <c r="K50" s="15"/>
      <c r="L50" s="416" t="s">
        <v>437</v>
      </c>
      <c r="M50" t="str">
        <f t="shared" si="5"/>
        <v/>
      </c>
      <c r="N50" t="str">
        <f t="shared" si="2"/>
        <v/>
      </c>
    </row>
    <row r="51" spans="1:14" ht="15" thickBot="1">
      <c r="A51" s="10">
        <v>46141</v>
      </c>
      <c r="B51" s="18" t="s">
        <v>41</v>
      </c>
      <c r="C51" s="19">
        <v>2258.17</v>
      </c>
      <c r="D51" s="98">
        <v>1100000</v>
      </c>
      <c r="E51" s="14"/>
      <c r="F51" s="15"/>
      <c r="G51" s="124">
        <f>G50-D51</f>
        <v>42258.250000000233</v>
      </c>
      <c r="H51" s="53" t="s">
        <v>10</v>
      </c>
      <c r="I51" s="186" t="s">
        <v>119</v>
      </c>
      <c r="J51" s="187" t="s">
        <v>121</v>
      </c>
      <c r="K51" s="15"/>
      <c r="L51" s="416" t="s">
        <v>437</v>
      </c>
      <c r="M51" t="str">
        <f t="shared" si="5"/>
        <v/>
      </c>
      <c r="N51" t="str">
        <f t="shared" si="2"/>
        <v/>
      </c>
    </row>
    <row r="52" spans="1:14" ht="15" thickBot="1">
      <c r="A52" s="125">
        <v>46141</v>
      </c>
      <c r="B52" s="182" t="s">
        <v>31</v>
      </c>
      <c r="C52" s="112"/>
      <c r="D52" s="127">
        <v>3300</v>
      </c>
      <c r="E52" s="112"/>
      <c r="G52" s="113">
        <f>G51-D52</f>
        <v>38958.250000000233</v>
      </c>
      <c r="H52" s="128" t="s">
        <v>25</v>
      </c>
      <c r="I52" s="186" t="s">
        <v>119</v>
      </c>
      <c r="J52" s="187" t="s">
        <v>121</v>
      </c>
      <c r="K52" s="15"/>
      <c r="L52" s="416" t="s">
        <v>437</v>
      </c>
      <c r="M52" t="str">
        <f t="shared" si="5"/>
        <v/>
      </c>
      <c r="N52" t="str">
        <f t="shared" si="2"/>
        <v/>
      </c>
    </row>
    <row r="53" spans="1:14" ht="15" thickBot="1">
      <c r="A53" s="79">
        <v>46141</v>
      </c>
      <c r="B53" s="198" t="s">
        <v>42</v>
      </c>
      <c r="C53" s="63"/>
      <c r="D53" s="67"/>
      <c r="E53" s="63">
        <v>156.27000000000001</v>
      </c>
      <c r="F53" s="60">
        <v>76122.789999999994</v>
      </c>
      <c r="G53" s="61">
        <f>G52+F53</f>
        <v>115081.04000000023</v>
      </c>
      <c r="H53" s="130" t="s">
        <v>10</v>
      </c>
      <c r="I53" s="15" t="s">
        <v>127</v>
      </c>
      <c r="J53" s="117" t="s">
        <v>270</v>
      </c>
      <c r="K53" s="416" t="s">
        <v>127</v>
      </c>
      <c r="L53" s="15"/>
      <c r="M53" t="str">
        <f t="shared" si="5"/>
        <v/>
      </c>
      <c r="N53" t="str">
        <f t="shared" si="2"/>
        <v/>
      </c>
    </row>
    <row r="54" spans="1:14" ht="15" thickBot="1">
      <c r="A54" s="10">
        <v>46141</v>
      </c>
      <c r="B54" s="199" t="s">
        <v>43</v>
      </c>
      <c r="C54" s="132">
        <v>213.49</v>
      </c>
      <c r="D54" s="110">
        <v>103996.07</v>
      </c>
      <c r="F54" s="112"/>
      <c r="G54" s="133">
        <f t="shared" ref="G54:G59" si="6">G53-D54</f>
        <v>11084.970000000219</v>
      </c>
      <c r="H54" s="128" t="s">
        <v>10</v>
      </c>
      <c r="I54" s="186" t="s">
        <v>119</v>
      </c>
      <c r="J54" s="187" t="s">
        <v>121</v>
      </c>
      <c r="L54" s="416" t="s">
        <v>437</v>
      </c>
      <c r="M54" t="str">
        <f t="shared" si="5"/>
        <v/>
      </c>
      <c r="N54" t="str">
        <f t="shared" si="2"/>
        <v/>
      </c>
    </row>
    <row r="55" spans="1:14" ht="15" thickBot="1">
      <c r="A55" s="10">
        <v>46141</v>
      </c>
      <c r="B55" s="192" t="s">
        <v>31</v>
      </c>
      <c r="C55" s="14"/>
      <c r="D55" s="98">
        <v>311.98</v>
      </c>
      <c r="E55" s="14"/>
      <c r="F55" s="15"/>
      <c r="G55" s="124">
        <f t="shared" si="6"/>
        <v>10772.99000000022</v>
      </c>
      <c r="H55" s="53" t="s">
        <v>25</v>
      </c>
      <c r="I55" s="186" t="s">
        <v>119</v>
      </c>
      <c r="J55" s="187" t="s">
        <v>121</v>
      </c>
      <c r="K55" s="15"/>
      <c r="L55" s="416" t="s">
        <v>437</v>
      </c>
      <c r="M55" t="str">
        <f t="shared" si="5"/>
        <v/>
      </c>
      <c r="N55" t="str">
        <f t="shared" si="2"/>
        <v/>
      </c>
    </row>
    <row r="56" spans="1:14" ht="15" thickBot="1">
      <c r="A56" s="10">
        <v>46142</v>
      </c>
      <c r="B56" s="192" t="s">
        <v>44</v>
      </c>
      <c r="C56" s="134">
        <v>8.98</v>
      </c>
      <c r="D56" s="135">
        <v>4374.34</v>
      </c>
      <c r="E56" s="136"/>
      <c r="F56" s="137"/>
      <c r="G56" s="138">
        <f t="shared" si="6"/>
        <v>6398.6500000002197</v>
      </c>
      <c r="H56" s="17" t="s">
        <v>13</v>
      </c>
      <c r="I56" s="186" t="s">
        <v>116</v>
      </c>
      <c r="J56" s="187" t="s">
        <v>20</v>
      </c>
      <c r="K56" s="15"/>
      <c r="L56" s="416" t="s">
        <v>437</v>
      </c>
      <c r="M56" t="str">
        <f t="shared" si="5"/>
        <v/>
      </c>
      <c r="N56" t="str">
        <f t="shared" si="2"/>
        <v/>
      </c>
    </row>
    <row r="57" spans="1:14" ht="15" thickBot="1">
      <c r="A57" s="107">
        <v>46142</v>
      </c>
      <c r="B57" s="194" t="s">
        <v>45</v>
      </c>
      <c r="C57" s="12">
        <v>1.5</v>
      </c>
      <c r="D57" s="98">
        <v>730.68</v>
      </c>
      <c r="E57" s="14"/>
      <c r="F57" s="15"/>
      <c r="G57" s="164">
        <f t="shared" si="6"/>
        <v>5667.9700000002194</v>
      </c>
      <c r="H57" s="163" t="s">
        <v>13</v>
      </c>
      <c r="I57" s="186" t="s">
        <v>116</v>
      </c>
      <c r="J57" s="187" t="s">
        <v>20</v>
      </c>
      <c r="K57" s="15"/>
      <c r="L57" s="416" t="s">
        <v>437</v>
      </c>
      <c r="M57" t="str">
        <f t="shared" si="5"/>
        <v/>
      </c>
      <c r="N57" t="str">
        <f t="shared" si="2"/>
        <v/>
      </c>
    </row>
    <row r="58" spans="1:14" ht="15" thickBot="1">
      <c r="A58" s="40">
        <v>46142</v>
      </c>
      <c r="B58" s="200" t="s">
        <v>47</v>
      </c>
      <c r="C58" s="42"/>
      <c r="D58" s="43">
        <v>16.100000000000001</v>
      </c>
      <c r="E58" s="41"/>
      <c r="F58" s="41"/>
      <c r="G58" s="164">
        <f t="shared" si="6"/>
        <v>5651.8700000002191</v>
      </c>
      <c r="H58" s="45" t="s">
        <v>25</v>
      </c>
      <c r="I58" s="186" t="s">
        <v>116</v>
      </c>
      <c r="J58" s="333" t="s">
        <v>117</v>
      </c>
      <c r="K58" s="15"/>
      <c r="L58" s="416" t="s">
        <v>437</v>
      </c>
      <c r="M58" t="str">
        <f t="shared" si="5"/>
        <v/>
      </c>
      <c r="N58" t="str">
        <f t="shared" si="2"/>
        <v/>
      </c>
    </row>
    <row r="59" spans="1:14" ht="15" thickBot="1">
      <c r="A59" s="10">
        <v>46146</v>
      </c>
      <c r="B59" s="18" t="s">
        <v>48</v>
      </c>
      <c r="C59" s="19">
        <v>2.7</v>
      </c>
      <c r="D59" s="19">
        <v>1321.79</v>
      </c>
      <c r="E59" s="14"/>
      <c r="F59" s="15"/>
      <c r="G59" s="33">
        <f t="shared" si="6"/>
        <v>4330.0800000002191</v>
      </c>
      <c r="H59" s="17" t="s">
        <v>13</v>
      </c>
      <c r="I59" s="186" t="s">
        <v>116</v>
      </c>
      <c r="J59" s="187" t="s">
        <v>20</v>
      </c>
      <c r="K59" s="15"/>
      <c r="L59" s="416" t="s">
        <v>437</v>
      </c>
      <c r="M59" t="str">
        <f t="shared" si="5"/>
        <v/>
      </c>
      <c r="N59" t="str">
        <f t="shared" si="2"/>
        <v/>
      </c>
    </row>
    <row r="60" spans="1:14" ht="15" thickBot="1">
      <c r="A60" s="46">
        <v>46148</v>
      </c>
      <c r="B60" s="201" t="s">
        <v>9</v>
      </c>
      <c r="C60" s="48"/>
      <c r="D60" s="49"/>
      <c r="E60" s="50">
        <v>137</v>
      </c>
      <c r="F60" s="51">
        <v>67656.72</v>
      </c>
      <c r="G60" s="52">
        <f>G59+F60</f>
        <v>71986.800000000221</v>
      </c>
      <c r="H60" s="47" t="s">
        <v>10</v>
      </c>
      <c r="I60" s="15" t="s">
        <v>127</v>
      </c>
      <c r="J60" s="117" t="s">
        <v>270</v>
      </c>
      <c r="K60" s="416" t="s">
        <v>127</v>
      </c>
      <c r="L60" s="15"/>
      <c r="M60" t="str">
        <f t="shared" si="5"/>
        <v/>
      </c>
      <c r="N60" t="str">
        <f t="shared" si="2"/>
        <v/>
      </c>
    </row>
    <row r="61" spans="1:14" ht="15" thickBot="1">
      <c r="A61" s="10">
        <v>46149</v>
      </c>
      <c r="B61" s="18" t="s">
        <v>49</v>
      </c>
      <c r="C61" s="30">
        <v>37.130000000000003</v>
      </c>
      <c r="D61" s="19">
        <v>18447.3</v>
      </c>
      <c r="E61" s="14"/>
      <c r="F61" s="15"/>
      <c r="G61" s="33">
        <f>G60-D61</f>
        <v>53539.500000000218</v>
      </c>
      <c r="H61" s="17" t="s">
        <v>10</v>
      </c>
      <c r="I61" s="186" t="s">
        <v>116</v>
      </c>
      <c r="J61" s="333" t="s">
        <v>269</v>
      </c>
      <c r="K61" s="15"/>
      <c r="L61" s="416" t="s">
        <v>437</v>
      </c>
      <c r="M61" t="str">
        <f t="shared" si="5"/>
        <v/>
      </c>
      <c r="N61" t="str">
        <f t="shared" si="2"/>
        <v/>
      </c>
    </row>
    <row r="62" spans="1:14" ht="15" thickBot="1">
      <c r="A62" s="10">
        <v>46149</v>
      </c>
      <c r="B62" s="202" t="s">
        <v>31</v>
      </c>
      <c r="C62" s="13">
        <v>0.11</v>
      </c>
      <c r="D62" s="13">
        <v>55.34</v>
      </c>
      <c r="E62" s="15"/>
      <c r="F62" s="15"/>
      <c r="G62" s="33">
        <f>G61-D62</f>
        <v>53484.160000000222</v>
      </c>
      <c r="H62" s="17" t="s">
        <v>25</v>
      </c>
      <c r="I62" s="186" t="s">
        <v>116</v>
      </c>
      <c r="J62" s="333" t="s">
        <v>269</v>
      </c>
      <c r="K62" s="15"/>
      <c r="L62" s="416" t="s">
        <v>437</v>
      </c>
      <c r="M62" t="str">
        <f t="shared" si="5"/>
        <v/>
      </c>
      <c r="N62" t="str">
        <f t="shared" si="2"/>
        <v/>
      </c>
    </row>
    <row r="63" spans="1:14" ht="15" thickBot="1">
      <c r="A63" s="10">
        <v>46153</v>
      </c>
      <c r="B63" s="15" t="s">
        <v>51</v>
      </c>
      <c r="C63" s="19">
        <v>28.37</v>
      </c>
      <c r="D63" s="30">
        <v>14200</v>
      </c>
      <c r="E63" s="15"/>
      <c r="F63" s="15"/>
      <c r="G63" s="33">
        <f>G62-D63</f>
        <v>39284.160000000222</v>
      </c>
      <c r="H63" s="8" t="s">
        <v>13</v>
      </c>
      <c r="I63" s="186" t="s">
        <v>116</v>
      </c>
      <c r="J63" s="333" t="s">
        <v>269</v>
      </c>
      <c r="K63" s="15"/>
      <c r="L63" s="416" t="s">
        <v>437</v>
      </c>
      <c r="M63" t="str">
        <f t="shared" si="5"/>
        <v/>
      </c>
      <c r="N63" t="str">
        <f t="shared" si="2"/>
        <v/>
      </c>
    </row>
    <row r="64" spans="1:14" ht="15" thickBot="1">
      <c r="A64" s="10">
        <v>46153</v>
      </c>
      <c r="B64" s="15" t="s">
        <v>52</v>
      </c>
      <c r="C64" s="19">
        <v>13</v>
      </c>
      <c r="D64" s="30">
        <v>6504.68</v>
      </c>
      <c r="E64" s="15"/>
      <c r="F64" s="15"/>
      <c r="G64" s="33">
        <f>G63-D64</f>
        <v>32779.480000000221</v>
      </c>
      <c r="H64" s="8" t="s">
        <v>13</v>
      </c>
      <c r="I64" s="186" t="s">
        <v>116</v>
      </c>
      <c r="J64" s="333" t="s">
        <v>269</v>
      </c>
      <c r="K64" s="15"/>
      <c r="L64" s="416" t="s">
        <v>437</v>
      </c>
      <c r="M64" t="str">
        <f t="shared" si="5"/>
        <v/>
      </c>
      <c r="N64" t="str">
        <f t="shared" si="2"/>
        <v/>
      </c>
    </row>
    <row r="65" spans="1:14" ht="15" thickBot="1">
      <c r="A65" s="10">
        <v>46153</v>
      </c>
      <c r="B65" s="15" t="s">
        <v>53</v>
      </c>
      <c r="C65" s="13">
        <v>19.13</v>
      </c>
      <c r="D65" s="54">
        <v>9573.81</v>
      </c>
      <c r="E65" s="15"/>
      <c r="F65" s="15"/>
      <c r="G65" s="33">
        <f>G64-D65</f>
        <v>23205.670000000224</v>
      </c>
      <c r="H65" s="8" t="s">
        <v>13</v>
      </c>
      <c r="I65" s="186" t="s">
        <v>116</v>
      </c>
      <c r="J65" s="187" t="s">
        <v>117</v>
      </c>
      <c r="K65" s="15"/>
      <c r="L65" s="416" t="s">
        <v>437</v>
      </c>
      <c r="M65" t="str">
        <f t="shared" si="5"/>
        <v/>
      </c>
      <c r="N65" t="str">
        <f t="shared" si="2"/>
        <v/>
      </c>
    </row>
    <row r="66" spans="1:14" ht="29.5" thickBot="1">
      <c r="A66" s="55">
        <v>46124</v>
      </c>
      <c r="B66" s="56" t="s">
        <v>54</v>
      </c>
      <c r="C66" s="57"/>
      <c r="D66" s="58"/>
      <c r="E66" s="59">
        <v>7819</v>
      </c>
      <c r="F66" s="60">
        <v>3947927.26</v>
      </c>
      <c r="G66" s="61">
        <f>G65+F66</f>
        <v>3971132.93</v>
      </c>
      <c r="H66" s="62" t="s">
        <v>10</v>
      </c>
      <c r="I66" s="15" t="s">
        <v>127</v>
      </c>
      <c r="J66" s="117" t="s">
        <v>270</v>
      </c>
      <c r="K66" s="416" t="s">
        <v>127</v>
      </c>
      <c r="L66" s="15"/>
      <c r="M66" t="str">
        <f t="shared" si="5"/>
        <v/>
      </c>
      <c r="N66" t="str">
        <f t="shared" si="2"/>
        <v/>
      </c>
    </row>
    <row r="67" spans="1:14" ht="15" thickBot="1">
      <c r="A67" s="55">
        <v>46124</v>
      </c>
      <c r="B67" s="63" t="s">
        <v>55</v>
      </c>
      <c r="C67" s="58"/>
      <c r="D67" s="57"/>
      <c r="E67" s="63">
        <v>86.67</v>
      </c>
      <c r="F67" s="60">
        <v>44079.040000000001</v>
      </c>
      <c r="G67" s="61">
        <f>G66+F67</f>
        <v>4015211.97</v>
      </c>
      <c r="H67" s="62" t="s">
        <v>10</v>
      </c>
      <c r="I67" s="15" t="s">
        <v>127</v>
      </c>
      <c r="J67" s="117" t="s">
        <v>270</v>
      </c>
      <c r="K67" s="15"/>
      <c r="L67" s="15"/>
      <c r="M67" t="str">
        <f t="shared" si="5"/>
        <v/>
      </c>
      <c r="N67" t="str">
        <f t="shared" si="2"/>
        <v/>
      </c>
    </row>
    <row r="68" spans="1:14" ht="15" thickBot="1">
      <c r="A68" s="10">
        <v>46155</v>
      </c>
      <c r="B68" s="64" t="s">
        <v>56</v>
      </c>
      <c r="C68" s="19">
        <v>2015</v>
      </c>
      <c r="D68" s="30">
        <v>1024829.81</v>
      </c>
      <c r="E68" s="15"/>
      <c r="F68" s="15"/>
      <c r="G68" s="33">
        <f>G67-D68</f>
        <v>2990382.16</v>
      </c>
      <c r="H68" s="8" t="s">
        <v>10</v>
      </c>
      <c r="I68" s="186" t="s">
        <v>119</v>
      </c>
      <c r="J68" s="417" t="s">
        <v>446</v>
      </c>
      <c r="K68" s="15"/>
      <c r="L68" s="416" t="s">
        <v>437</v>
      </c>
      <c r="M68" t="str">
        <f t="shared" si="5"/>
        <v/>
      </c>
      <c r="N68" t="str">
        <f t="shared" ref="N68:N131" si="7">IF(C68="","",IF(C68=D68,"OJOOO",""))</f>
        <v/>
      </c>
    </row>
    <row r="69" spans="1:14" ht="15" thickBot="1">
      <c r="A69" s="10">
        <v>46155</v>
      </c>
      <c r="B69" s="64" t="s">
        <v>31</v>
      </c>
      <c r="C69" s="19">
        <v>6.04</v>
      </c>
      <c r="D69" s="30">
        <v>3074.48</v>
      </c>
      <c r="E69" s="15"/>
      <c r="F69" s="15"/>
      <c r="G69" s="33">
        <f>G68-D69</f>
        <v>2987307.68</v>
      </c>
      <c r="H69" s="8" t="s">
        <v>25</v>
      </c>
      <c r="I69" s="186" t="s">
        <v>119</v>
      </c>
      <c r="J69" s="417" t="s">
        <v>446</v>
      </c>
      <c r="K69" s="15"/>
      <c r="L69" s="416" t="s">
        <v>437</v>
      </c>
      <c r="M69" t="str">
        <f t="shared" si="5"/>
        <v/>
      </c>
      <c r="N69" t="str">
        <f t="shared" si="7"/>
        <v/>
      </c>
    </row>
    <row r="70" spans="1:14" ht="15" thickBot="1">
      <c r="A70" s="10">
        <v>46155</v>
      </c>
      <c r="B70" s="64" t="s">
        <v>57</v>
      </c>
      <c r="C70" s="19">
        <v>5784.34</v>
      </c>
      <c r="D70" s="30">
        <v>2941916.72</v>
      </c>
      <c r="E70" s="15"/>
      <c r="F70" s="15"/>
      <c r="G70" s="33">
        <f>G69-D70</f>
        <v>45390.959999999963</v>
      </c>
      <c r="H70" s="8" t="s">
        <v>10</v>
      </c>
      <c r="I70" s="186" t="s">
        <v>119</v>
      </c>
      <c r="J70" s="417" t="s">
        <v>446</v>
      </c>
      <c r="K70" s="15"/>
      <c r="L70" s="416" t="s">
        <v>437</v>
      </c>
      <c r="M70" t="str">
        <f t="shared" si="5"/>
        <v/>
      </c>
      <c r="N70" t="str">
        <f t="shared" si="7"/>
        <v/>
      </c>
    </row>
    <row r="71" spans="1:14" ht="15" thickBot="1">
      <c r="A71" s="10">
        <v>46155</v>
      </c>
      <c r="B71" s="15" t="s">
        <v>31</v>
      </c>
      <c r="C71" s="13">
        <v>17.350000000000001</v>
      </c>
      <c r="D71" s="12">
        <v>8825.75</v>
      </c>
      <c r="E71" s="15"/>
      <c r="F71" s="15"/>
      <c r="G71" s="33">
        <f>G70-D71</f>
        <v>36565.209999999963</v>
      </c>
      <c r="H71" s="8" t="s">
        <v>25</v>
      </c>
      <c r="I71" s="186" t="s">
        <v>119</v>
      </c>
      <c r="J71" s="417" t="s">
        <v>446</v>
      </c>
      <c r="K71" s="15"/>
      <c r="L71" s="416" t="s">
        <v>437</v>
      </c>
      <c r="M71" t="str">
        <f t="shared" si="5"/>
        <v/>
      </c>
      <c r="N71" t="str">
        <f t="shared" si="7"/>
        <v/>
      </c>
    </row>
    <row r="72" spans="1:14" ht="29.5" thickBot="1">
      <c r="A72" s="55">
        <v>46155</v>
      </c>
      <c r="B72" s="56" t="s">
        <v>58</v>
      </c>
      <c r="C72" s="65"/>
      <c r="D72" s="63"/>
      <c r="E72" s="63">
        <v>19.66</v>
      </c>
      <c r="F72" s="66">
        <v>10000</v>
      </c>
      <c r="G72" s="61">
        <f>G71+F72</f>
        <v>46565.209999999963</v>
      </c>
      <c r="H72" s="63" t="s">
        <v>10</v>
      </c>
      <c r="I72" s="15" t="s">
        <v>127</v>
      </c>
      <c r="J72" s="117" t="s">
        <v>270</v>
      </c>
      <c r="K72" s="416" t="s">
        <v>127</v>
      </c>
      <c r="L72" s="15"/>
      <c r="M72" t="str">
        <f t="shared" si="5"/>
        <v/>
      </c>
      <c r="N72" t="str">
        <f t="shared" si="7"/>
        <v/>
      </c>
    </row>
    <row r="73" spans="1:14" ht="15" thickBot="1">
      <c r="A73" s="10">
        <v>46155</v>
      </c>
      <c r="B73" s="64" t="s">
        <v>59</v>
      </c>
      <c r="C73" s="13">
        <v>85.78</v>
      </c>
      <c r="D73" s="54">
        <v>43628.76</v>
      </c>
      <c r="E73" s="15"/>
      <c r="F73" s="15"/>
      <c r="G73" s="33">
        <f>G72-D73</f>
        <v>2936.4499999999607</v>
      </c>
      <c r="H73" s="8" t="s">
        <v>13</v>
      </c>
      <c r="I73" s="186" t="s">
        <v>119</v>
      </c>
      <c r="J73" s="187" t="s">
        <v>118</v>
      </c>
      <c r="K73" s="15"/>
      <c r="L73" s="416" t="s">
        <v>437</v>
      </c>
      <c r="M73" t="str">
        <f t="shared" si="5"/>
        <v/>
      </c>
      <c r="N73" t="str">
        <f t="shared" si="7"/>
        <v/>
      </c>
    </row>
    <row r="74" spans="1:14" ht="15" thickBot="1">
      <c r="A74" s="10">
        <v>46155</v>
      </c>
      <c r="B74" s="15" t="s">
        <v>60</v>
      </c>
      <c r="C74" s="13">
        <v>2</v>
      </c>
      <c r="D74" s="30">
        <v>1018</v>
      </c>
      <c r="E74" s="15"/>
      <c r="F74" s="15"/>
      <c r="G74" s="33">
        <f>G73-D74</f>
        <v>1918.4499999999607</v>
      </c>
      <c r="H74" s="8" t="s">
        <v>13</v>
      </c>
      <c r="I74" s="186" t="s">
        <v>116</v>
      </c>
      <c r="J74" s="333" t="s">
        <v>269</v>
      </c>
      <c r="K74" s="15"/>
      <c r="L74" s="416" t="s">
        <v>437</v>
      </c>
      <c r="M74" t="str">
        <f t="shared" si="5"/>
        <v/>
      </c>
      <c r="N74" t="str">
        <f t="shared" si="7"/>
        <v/>
      </c>
    </row>
    <row r="75" spans="1:14" ht="15" thickBot="1">
      <c r="A75" s="55">
        <v>46158</v>
      </c>
      <c r="B75" s="63" t="s">
        <v>61</v>
      </c>
      <c r="C75" s="63"/>
      <c r="D75" s="67"/>
      <c r="E75" s="61">
        <v>1235.45</v>
      </c>
      <c r="F75" s="68">
        <v>650919.31000000006</v>
      </c>
      <c r="G75" s="61">
        <f>G74+F75</f>
        <v>652837.76</v>
      </c>
      <c r="H75" s="62" t="s">
        <v>10</v>
      </c>
      <c r="I75" s="15" t="s">
        <v>127</v>
      </c>
      <c r="J75" s="117" t="s">
        <v>270</v>
      </c>
      <c r="K75" s="416" t="s">
        <v>127</v>
      </c>
      <c r="L75" s="15"/>
      <c r="M75" t="str">
        <f t="shared" si="5"/>
        <v/>
      </c>
      <c r="N75" t="str">
        <f t="shared" si="7"/>
        <v/>
      </c>
    </row>
    <row r="76" spans="1:14" ht="15" thickBot="1">
      <c r="A76" s="55">
        <v>46158</v>
      </c>
      <c r="B76" s="63" t="s">
        <v>61</v>
      </c>
      <c r="C76" s="63"/>
      <c r="D76" s="67"/>
      <c r="E76" s="61">
        <v>1235.45</v>
      </c>
      <c r="F76" s="68">
        <v>650919.31000000006</v>
      </c>
      <c r="G76" s="61">
        <f>G75+F76</f>
        <v>1303757.07</v>
      </c>
      <c r="H76" s="62" t="s">
        <v>10</v>
      </c>
      <c r="I76" s="15" t="s">
        <v>127</v>
      </c>
      <c r="J76" s="117" t="s">
        <v>270</v>
      </c>
      <c r="K76" s="416" t="s">
        <v>127</v>
      </c>
      <c r="L76" s="15"/>
      <c r="M76" t="str">
        <f t="shared" si="5"/>
        <v/>
      </c>
      <c r="N76" t="str">
        <f t="shared" si="7"/>
        <v/>
      </c>
    </row>
    <row r="77" spans="1:14" ht="15" thickBot="1">
      <c r="A77" s="10">
        <v>46158</v>
      </c>
      <c r="B77" s="15" t="s">
        <v>62</v>
      </c>
      <c r="C77" s="13">
        <v>1235.45</v>
      </c>
      <c r="D77" s="54">
        <v>650919.31000000006</v>
      </c>
      <c r="E77" s="15"/>
      <c r="F77" s="15"/>
      <c r="G77" s="33">
        <f>G76-D77</f>
        <v>652837.76</v>
      </c>
      <c r="H77" s="8" t="s">
        <v>10</v>
      </c>
      <c r="I77" s="186" t="s">
        <v>119</v>
      </c>
      <c r="J77" s="187" t="s">
        <v>121</v>
      </c>
      <c r="K77" s="15"/>
      <c r="L77" s="416" t="s">
        <v>437</v>
      </c>
      <c r="M77" t="str">
        <f t="shared" si="5"/>
        <v/>
      </c>
      <c r="N77" t="str">
        <f t="shared" si="7"/>
        <v/>
      </c>
    </row>
    <row r="78" spans="1:14" ht="15" thickBot="1">
      <c r="A78" s="10">
        <v>46158</v>
      </c>
      <c r="B78" s="15" t="s">
        <v>31</v>
      </c>
      <c r="C78" s="13">
        <v>3.71</v>
      </c>
      <c r="D78" s="54">
        <v>1952.75</v>
      </c>
      <c r="E78" s="15"/>
      <c r="F78" s="15"/>
      <c r="G78" s="33">
        <f>G77-D78</f>
        <v>650885.01</v>
      </c>
      <c r="H78" s="8" t="s">
        <v>25</v>
      </c>
      <c r="I78" s="186" t="s">
        <v>119</v>
      </c>
      <c r="J78" s="187" t="s">
        <v>121</v>
      </c>
      <c r="K78" s="15"/>
      <c r="L78" s="416" t="s">
        <v>437</v>
      </c>
      <c r="M78" t="str">
        <f t="shared" si="5"/>
        <v/>
      </c>
      <c r="N78" t="str">
        <f t="shared" si="7"/>
        <v/>
      </c>
    </row>
    <row r="79" spans="1:14" ht="15" thickBot="1">
      <c r="A79" s="10">
        <v>46158</v>
      </c>
      <c r="B79" s="15" t="s">
        <v>62</v>
      </c>
      <c r="C79" s="13">
        <v>1228.06</v>
      </c>
      <c r="D79" s="54">
        <v>647025.49</v>
      </c>
      <c r="E79" s="15"/>
      <c r="F79" s="15"/>
      <c r="G79" s="33">
        <f>G78-D79</f>
        <v>3859.5200000000186</v>
      </c>
      <c r="H79" s="8" t="s">
        <v>10</v>
      </c>
      <c r="I79" s="186" t="s">
        <v>122</v>
      </c>
      <c r="J79" s="187" t="s">
        <v>121</v>
      </c>
      <c r="K79" s="15"/>
      <c r="L79" s="416" t="s">
        <v>437</v>
      </c>
      <c r="M79" t="str">
        <f t="shared" si="5"/>
        <v/>
      </c>
      <c r="N79" t="str">
        <f t="shared" si="7"/>
        <v/>
      </c>
    </row>
    <row r="80" spans="1:14" ht="15" thickBot="1">
      <c r="A80" s="10">
        <v>46158</v>
      </c>
      <c r="B80" s="15" t="s">
        <v>31</v>
      </c>
      <c r="C80" s="13">
        <v>3.68</v>
      </c>
      <c r="D80" s="54">
        <v>1941.07</v>
      </c>
      <c r="E80" s="15"/>
      <c r="F80" s="15"/>
      <c r="G80" s="33">
        <f>G79-D80</f>
        <v>1918.4500000000187</v>
      </c>
      <c r="H80" s="8" t="s">
        <v>25</v>
      </c>
      <c r="I80" s="186" t="s">
        <v>119</v>
      </c>
      <c r="J80" s="187" t="s">
        <v>121</v>
      </c>
      <c r="K80" s="15"/>
      <c r="L80" s="416" t="s">
        <v>437</v>
      </c>
      <c r="M80" t="str">
        <f t="shared" si="5"/>
        <v/>
      </c>
      <c r="N80" t="str">
        <f t="shared" si="7"/>
        <v/>
      </c>
    </row>
    <row r="81" spans="1:14" ht="15" thickBot="1">
      <c r="A81" s="10">
        <v>46163</v>
      </c>
      <c r="B81" s="15" t="s">
        <v>63</v>
      </c>
      <c r="C81" s="13">
        <v>1.39</v>
      </c>
      <c r="D81" s="12">
        <v>733.15</v>
      </c>
      <c r="E81" s="15"/>
      <c r="F81" s="15"/>
      <c r="G81" s="33">
        <f>G80-D81</f>
        <v>1185.3000000000188</v>
      </c>
      <c r="H81" s="8" t="s">
        <v>13</v>
      </c>
      <c r="I81" s="186" t="s">
        <v>116</v>
      </c>
      <c r="J81" s="187" t="s">
        <v>20</v>
      </c>
      <c r="K81" s="15"/>
      <c r="L81" s="416" t="s">
        <v>437</v>
      </c>
      <c r="M81" t="str">
        <f t="shared" si="5"/>
        <v/>
      </c>
      <c r="N81" t="str">
        <f t="shared" si="7"/>
        <v/>
      </c>
    </row>
    <row r="82" spans="1:14" ht="15" thickBot="1">
      <c r="A82" s="69">
        <v>46168</v>
      </c>
      <c r="B82" s="70" t="s">
        <v>64</v>
      </c>
      <c r="C82" s="71"/>
      <c r="D82" s="70"/>
      <c r="E82" s="72">
        <v>1200</v>
      </c>
      <c r="F82" s="73">
        <v>642462.36</v>
      </c>
      <c r="G82" s="74">
        <f>G81+F82</f>
        <v>643647.66</v>
      </c>
      <c r="H82" s="75" t="s">
        <v>10</v>
      </c>
      <c r="I82" s="15" t="s">
        <v>127</v>
      </c>
      <c r="J82" s="117" t="s">
        <v>270</v>
      </c>
      <c r="K82" s="416" t="s">
        <v>127</v>
      </c>
      <c r="L82" s="15"/>
      <c r="M82" t="str">
        <f t="shared" si="5"/>
        <v/>
      </c>
      <c r="N82" t="str">
        <f t="shared" si="7"/>
        <v/>
      </c>
    </row>
    <row r="83" spans="1:14" ht="15" thickBot="1">
      <c r="A83" s="10">
        <v>46168</v>
      </c>
      <c r="B83" s="15" t="s">
        <v>65</v>
      </c>
      <c r="C83" s="19">
        <v>1000</v>
      </c>
      <c r="D83" s="54">
        <v>535385.30000000005</v>
      </c>
      <c r="E83" s="15"/>
      <c r="F83" s="15"/>
      <c r="G83" s="76">
        <f>G82-D83</f>
        <v>108262.35999999999</v>
      </c>
      <c r="H83" s="8" t="s">
        <v>10</v>
      </c>
      <c r="I83" s="332" t="s">
        <v>119</v>
      </c>
      <c r="J83" s="333" t="s">
        <v>121</v>
      </c>
      <c r="K83" s="15"/>
      <c r="L83" s="416" t="s">
        <v>437</v>
      </c>
      <c r="M83" t="str">
        <f t="shared" si="5"/>
        <v/>
      </c>
      <c r="N83" t="str">
        <f t="shared" si="7"/>
        <v/>
      </c>
    </row>
    <row r="84" spans="1:14" ht="15" thickBot="1">
      <c r="A84" s="10">
        <v>46168</v>
      </c>
      <c r="B84" s="15" t="s">
        <v>31</v>
      </c>
      <c r="C84" s="19">
        <v>2.97</v>
      </c>
      <c r="D84" s="54">
        <v>1606.15</v>
      </c>
      <c r="E84" s="15"/>
      <c r="F84" s="15"/>
      <c r="G84" s="76">
        <f>G83-D84</f>
        <v>106656.20999999999</v>
      </c>
      <c r="H84" s="8"/>
      <c r="I84" s="332" t="s">
        <v>119</v>
      </c>
      <c r="J84" s="187" t="s">
        <v>121</v>
      </c>
      <c r="K84" s="15"/>
      <c r="L84" s="416" t="s">
        <v>437</v>
      </c>
      <c r="M84" t="str">
        <f t="shared" ref="M84:M147" si="8">IF(E84="","",IF(E84=F84,"OJOOO",""))</f>
        <v/>
      </c>
      <c r="N84" t="str">
        <f t="shared" si="7"/>
        <v/>
      </c>
    </row>
    <row r="85" spans="1:14" ht="15" thickBot="1">
      <c r="A85" s="10">
        <v>46168</v>
      </c>
      <c r="B85" s="15" t="s">
        <v>66</v>
      </c>
      <c r="C85" s="19">
        <v>15.14</v>
      </c>
      <c r="D85" s="30">
        <v>8103.18</v>
      </c>
      <c r="E85" s="15"/>
      <c r="F85" s="15"/>
      <c r="G85" s="33">
        <f>G84-D85</f>
        <v>98553.03</v>
      </c>
      <c r="H85" s="8" t="s">
        <v>10</v>
      </c>
      <c r="I85" s="332" t="s">
        <v>266</v>
      </c>
      <c r="J85" s="333" t="s">
        <v>267</v>
      </c>
      <c r="K85" s="15"/>
      <c r="L85" s="416" t="s">
        <v>437</v>
      </c>
      <c r="M85" t="str">
        <f t="shared" si="8"/>
        <v/>
      </c>
      <c r="N85" t="str">
        <f t="shared" si="7"/>
        <v/>
      </c>
    </row>
    <row r="86" spans="1:14" ht="15" thickBot="1">
      <c r="A86" s="10">
        <v>46168</v>
      </c>
      <c r="B86" s="15" t="s">
        <v>67</v>
      </c>
      <c r="C86" s="13">
        <v>0.55000000000000004</v>
      </c>
      <c r="D86" s="30">
        <v>292</v>
      </c>
      <c r="E86" s="15"/>
      <c r="F86" s="15"/>
      <c r="G86" s="33">
        <f>G85-D86</f>
        <v>98261.03</v>
      </c>
      <c r="H86" s="8" t="s">
        <v>10</v>
      </c>
      <c r="I86" s="332" t="s">
        <v>266</v>
      </c>
      <c r="J86" s="333" t="s">
        <v>267</v>
      </c>
      <c r="K86" s="15"/>
      <c r="L86" s="416" t="s">
        <v>437</v>
      </c>
      <c r="M86" t="str">
        <f t="shared" si="8"/>
        <v/>
      </c>
      <c r="N86" t="str">
        <f t="shared" si="7"/>
        <v/>
      </c>
    </row>
    <row r="87" spans="1:14" ht="15" thickBot="1">
      <c r="A87" s="10">
        <v>46168</v>
      </c>
      <c r="B87" s="15" t="s">
        <v>68</v>
      </c>
      <c r="C87" s="13">
        <v>39.31</v>
      </c>
      <c r="D87" s="30">
        <v>21043.55</v>
      </c>
      <c r="E87" s="15"/>
      <c r="F87" s="15"/>
      <c r="G87" s="33">
        <f>G86-D87</f>
        <v>77217.48</v>
      </c>
      <c r="H87" s="8" t="s">
        <v>10</v>
      </c>
      <c r="I87" s="332" t="s">
        <v>266</v>
      </c>
      <c r="J87" s="333" t="s">
        <v>267</v>
      </c>
      <c r="K87" s="15"/>
      <c r="L87" s="416" t="s">
        <v>437</v>
      </c>
      <c r="M87" t="str">
        <f t="shared" si="8"/>
        <v/>
      </c>
      <c r="N87" t="str">
        <f t="shared" si="7"/>
        <v/>
      </c>
    </row>
    <row r="88" spans="1:14" ht="15" thickBot="1">
      <c r="A88" s="69">
        <v>46171</v>
      </c>
      <c r="B88" s="70" t="s">
        <v>69</v>
      </c>
      <c r="C88" s="70"/>
      <c r="D88" s="70"/>
      <c r="E88" s="72">
        <v>1256.3699999999999</v>
      </c>
      <c r="F88" s="73">
        <v>690216.45</v>
      </c>
      <c r="G88" s="74">
        <f>G87+F88</f>
        <v>767433.92999999993</v>
      </c>
      <c r="H88" s="75" t="s">
        <v>10</v>
      </c>
      <c r="I88" s="15" t="s">
        <v>127</v>
      </c>
      <c r="J88" s="117" t="s">
        <v>270</v>
      </c>
      <c r="K88" s="416" t="s">
        <v>127</v>
      </c>
      <c r="L88" s="15"/>
      <c r="M88" t="str">
        <f t="shared" si="8"/>
        <v/>
      </c>
      <c r="N88" t="str">
        <f t="shared" si="7"/>
        <v/>
      </c>
    </row>
    <row r="89" spans="1:14" ht="15" thickBot="1">
      <c r="A89" s="69">
        <v>46171</v>
      </c>
      <c r="B89" s="70" t="s">
        <v>69</v>
      </c>
      <c r="C89" s="71"/>
      <c r="D89" s="70"/>
      <c r="E89" s="72">
        <v>1256.3699999999999</v>
      </c>
      <c r="F89" s="73">
        <v>690216.45</v>
      </c>
      <c r="G89" s="74">
        <f>G88+F89</f>
        <v>1457650.38</v>
      </c>
      <c r="H89" s="75" t="s">
        <v>10</v>
      </c>
      <c r="I89" s="15" t="s">
        <v>127</v>
      </c>
      <c r="J89" s="117" t="s">
        <v>270</v>
      </c>
      <c r="K89" s="416" t="s">
        <v>127</v>
      </c>
      <c r="L89" s="15"/>
      <c r="M89" t="str">
        <f t="shared" si="8"/>
        <v/>
      </c>
      <c r="N89" t="str">
        <f t="shared" si="7"/>
        <v/>
      </c>
    </row>
    <row r="90" spans="1:14" ht="15" thickBot="1">
      <c r="A90" s="10">
        <v>46171</v>
      </c>
      <c r="B90" s="15" t="s">
        <v>62</v>
      </c>
      <c r="C90" s="19">
        <v>1252.6600000000001</v>
      </c>
      <c r="D90" s="30">
        <v>688176.92</v>
      </c>
      <c r="E90" s="15"/>
      <c r="F90" s="15"/>
      <c r="G90" s="33">
        <f t="shared" ref="G90:G98" si="9">G89-D90</f>
        <v>769473.45999999985</v>
      </c>
      <c r="H90" s="8" t="s">
        <v>10</v>
      </c>
      <c r="I90" s="332" t="s">
        <v>119</v>
      </c>
      <c r="J90" s="187" t="s">
        <v>121</v>
      </c>
      <c r="K90" s="15"/>
      <c r="L90" s="416" t="s">
        <v>437</v>
      </c>
      <c r="M90" t="str">
        <f t="shared" si="8"/>
        <v/>
      </c>
      <c r="N90" t="str">
        <f t="shared" si="7"/>
        <v/>
      </c>
    </row>
    <row r="91" spans="1:14" ht="15" thickBot="1">
      <c r="A91" s="10">
        <v>46171</v>
      </c>
      <c r="B91" s="15" t="s">
        <v>31</v>
      </c>
      <c r="C91" s="13">
        <v>3.76</v>
      </c>
      <c r="D91" s="77">
        <v>2064.5300000000002</v>
      </c>
      <c r="E91" s="15"/>
      <c r="F91" s="15"/>
      <c r="G91" s="33">
        <f t="shared" si="9"/>
        <v>767408.92999999982</v>
      </c>
      <c r="H91" s="8" t="s">
        <v>25</v>
      </c>
      <c r="I91" s="332" t="s">
        <v>119</v>
      </c>
      <c r="J91" s="187" t="s">
        <v>121</v>
      </c>
      <c r="K91" s="15"/>
      <c r="L91" s="416" t="s">
        <v>437</v>
      </c>
      <c r="M91" t="str">
        <f t="shared" si="8"/>
        <v/>
      </c>
      <c r="N91" t="str">
        <f t="shared" si="7"/>
        <v/>
      </c>
    </row>
    <row r="92" spans="1:14" ht="15" thickBot="1">
      <c r="A92" s="10">
        <v>46171</v>
      </c>
      <c r="B92" s="15" t="s">
        <v>62</v>
      </c>
      <c r="C92" s="19">
        <v>1252.6600000000001</v>
      </c>
      <c r="D92" s="30">
        <v>688176.92</v>
      </c>
      <c r="E92" s="15"/>
      <c r="F92" s="15"/>
      <c r="G92" s="33">
        <f t="shared" si="9"/>
        <v>79232.009999999776</v>
      </c>
      <c r="H92" s="8" t="s">
        <v>10</v>
      </c>
      <c r="I92" s="332" t="s">
        <v>119</v>
      </c>
      <c r="J92" s="187" t="s">
        <v>121</v>
      </c>
      <c r="K92" s="15"/>
      <c r="L92" s="416" t="s">
        <v>437</v>
      </c>
      <c r="M92" t="str">
        <f t="shared" si="8"/>
        <v/>
      </c>
      <c r="N92" t="str">
        <f t="shared" si="7"/>
        <v/>
      </c>
    </row>
    <row r="93" spans="1:14" ht="15" thickBot="1">
      <c r="A93" s="10">
        <v>46171</v>
      </c>
      <c r="B93" s="15" t="s">
        <v>70</v>
      </c>
      <c r="C93" s="13">
        <v>3.76</v>
      </c>
      <c r="D93" s="77">
        <v>2064.5300000000002</v>
      </c>
      <c r="E93" s="15"/>
      <c r="F93" s="15"/>
      <c r="G93" s="33">
        <f t="shared" si="9"/>
        <v>77167.479999999778</v>
      </c>
      <c r="H93" s="8" t="s">
        <v>25</v>
      </c>
      <c r="I93" s="332" t="s">
        <v>119</v>
      </c>
      <c r="J93" s="187" t="s">
        <v>121</v>
      </c>
      <c r="K93" s="15"/>
      <c r="L93" s="416" t="s">
        <v>437</v>
      </c>
      <c r="M93" t="str">
        <f t="shared" si="8"/>
        <v/>
      </c>
      <c r="N93" t="str">
        <f t="shared" si="7"/>
        <v/>
      </c>
    </row>
    <row r="94" spans="1:14" ht="15" thickBot="1">
      <c r="A94" s="10">
        <v>46171</v>
      </c>
      <c r="B94" s="64" t="s">
        <v>71</v>
      </c>
      <c r="C94" s="19">
        <v>39</v>
      </c>
      <c r="D94" s="30">
        <v>21425.49</v>
      </c>
      <c r="E94" s="15"/>
      <c r="F94" s="15"/>
      <c r="G94" s="33">
        <f t="shared" si="9"/>
        <v>55741.989999999772</v>
      </c>
      <c r="H94" s="8" t="s">
        <v>10</v>
      </c>
      <c r="I94" s="186" t="s">
        <v>116</v>
      </c>
      <c r="J94" s="333" t="s">
        <v>269</v>
      </c>
      <c r="K94" s="15"/>
      <c r="L94" s="416" t="s">
        <v>437</v>
      </c>
      <c r="M94" t="str">
        <f t="shared" si="8"/>
        <v/>
      </c>
      <c r="N94" t="str">
        <f t="shared" si="7"/>
        <v/>
      </c>
    </row>
    <row r="95" spans="1:14" ht="15" thickBot="1">
      <c r="A95" s="10">
        <v>46171</v>
      </c>
      <c r="B95" s="15" t="s">
        <v>31</v>
      </c>
      <c r="C95" s="12">
        <v>0.12</v>
      </c>
      <c r="D95" s="13">
        <v>64.27</v>
      </c>
      <c r="E95" s="14"/>
      <c r="F95" s="15"/>
      <c r="G95" s="20">
        <f t="shared" si="9"/>
        <v>55677.719999999776</v>
      </c>
      <c r="H95" s="17" t="s">
        <v>25</v>
      </c>
      <c r="I95" s="186" t="s">
        <v>116</v>
      </c>
      <c r="J95" s="333" t="s">
        <v>269</v>
      </c>
      <c r="K95" s="15"/>
      <c r="L95" s="416" t="s">
        <v>437</v>
      </c>
      <c r="M95" t="str">
        <f t="shared" si="8"/>
        <v/>
      </c>
      <c r="N95" t="str">
        <f t="shared" si="7"/>
        <v/>
      </c>
    </row>
    <row r="96" spans="1:14" ht="15" thickBot="1">
      <c r="A96" s="10">
        <v>46173</v>
      </c>
      <c r="B96" s="15" t="s">
        <v>72</v>
      </c>
      <c r="C96" s="12"/>
      <c r="D96" s="13">
        <v>0.1</v>
      </c>
      <c r="E96" s="14"/>
      <c r="F96" s="15"/>
      <c r="G96" s="20">
        <f t="shared" si="9"/>
        <v>55677.619999999777</v>
      </c>
      <c r="H96" s="17" t="s">
        <v>25</v>
      </c>
      <c r="I96" s="186" t="s">
        <v>116</v>
      </c>
      <c r="J96" s="187" t="s">
        <v>117</v>
      </c>
      <c r="K96" s="15"/>
      <c r="L96" s="416" t="s">
        <v>437</v>
      </c>
      <c r="M96" t="str">
        <f t="shared" si="8"/>
        <v/>
      </c>
      <c r="N96" t="str">
        <f t="shared" si="7"/>
        <v/>
      </c>
    </row>
    <row r="97" spans="1:14" ht="15" thickBot="1">
      <c r="A97" s="10">
        <v>46173</v>
      </c>
      <c r="B97" s="11" t="s">
        <v>73</v>
      </c>
      <c r="C97" s="12"/>
      <c r="D97" s="13">
        <v>8</v>
      </c>
      <c r="E97" s="14"/>
      <c r="F97" s="15"/>
      <c r="G97" s="20">
        <f t="shared" si="9"/>
        <v>55669.619999999777</v>
      </c>
      <c r="H97" s="17" t="s">
        <v>25</v>
      </c>
      <c r="I97" s="186" t="s">
        <v>116</v>
      </c>
      <c r="J97" s="187" t="s">
        <v>117</v>
      </c>
      <c r="K97" s="15"/>
      <c r="L97" s="416" t="s">
        <v>437</v>
      </c>
      <c r="M97" t="str">
        <f t="shared" si="8"/>
        <v/>
      </c>
      <c r="N97" t="str">
        <f t="shared" si="7"/>
        <v/>
      </c>
    </row>
    <row r="98" spans="1:14" ht="15" thickBot="1">
      <c r="A98" s="10">
        <v>46173</v>
      </c>
      <c r="B98" s="11" t="s">
        <v>74</v>
      </c>
      <c r="C98" s="12"/>
      <c r="D98" s="13">
        <v>8</v>
      </c>
      <c r="E98" s="14"/>
      <c r="F98" s="15"/>
      <c r="G98" s="20">
        <f t="shared" si="9"/>
        <v>55661.619999999777</v>
      </c>
      <c r="H98" s="17" t="s">
        <v>25</v>
      </c>
      <c r="I98" s="186" t="s">
        <v>116</v>
      </c>
      <c r="J98" s="187" t="s">
        <v>117</v>
      </c>
      <c r="K98" s="15"/>
      <c r="L98" s="416" t="s">
        <v>437</v>
      </c>
      <c r="M98" t="str">
        <f t="shared" si="8"/>
        <v/>
      </c>
      <c r="N98" t="str">
        <f t="shared" si="7"/>
        <v/>
      </c>
    </row>
    <row r="99" spans="1:14" ht="15" thickBot="1">
      <c r="A99" s="10">
        <v>46173</v>
      </c>
      <c r="B99" s="11" t="s">
        <v>74</v>
      </c>
      <c r="C99" s="12"/>
      <c r="D99" s="13">
        <v>8</v>
      </c>
      <c r="E99" s="14"/>
      <c r="F99" s="15"/>
      <c r="G99" s="16">
        <v>55661.62</v>
      </c>
      <c r="H99" s="17" t="s">
        <v>25</v>
      </c>
      <c r="I99" s="186" t="s">
        <v>116</v>
      </c>
      <c r="J99" s="187" t="s">
        <v>117</v>
      </c>
      <c r="K99" s="15"/>
      <c r="L99" s="416" t="s">
        <v>437</v>
      </c>
      <c r="M99" t="str">
        <f t="shared" si="8"/>
        <v/>
      </c>
      <c r="N99" t="str">
        <f t="shared" si="7"/>
        <v/>
      </c>
    </row>
    <row r="100" spans="1:14" ht="15" thickBot="1">
      <c r="A100" s="10">
        <v>46175</v>
      </c>
      <c r="B100" s="18" t="s">
        <v>80</v>
      </c>
      <c r="C100" s="12">
        <v>23.04</v>
      </c>
      <c r="D100" s="19">
        <v>15098.66</v>
      </c>
      <c r="E100" s="15"/>
      <c r="F100" s="15"/>
      <c r="G100" s="20">
        <f>G99-D100</f>
        <v>40562.960000000006</v>
      </c>
      <c r="H100" s="17" t="s">
        <v>13</v>
      </c>
      <c r="I100" s="186" t="s">
        <v>116</v>
      </c>
      <c r="J100" s="187" t="s">
        <v>117</v>
      </c>
      <c r="K100" s="15"/>
      <c r="L100" s="416" t="s">
        <v>437</v>
      </c>
      <c r="M100" t="str">
        <f t="shared" si="8"/>
        <v/>
      </c>
      <c r="N100" t="str">
        <f t="shared" si="7"/>
        <v/>
      </c>
    </row>
    <row r="101" spans="1:14" ht="15" thickBot="1">
      <c r="A101" s="21">
        <v>46177</v>
      </c>
      <c r="B101" s="22" t="s">
        <v>81</v>
      </c>
      <c r="C101" s="23">
        <v>9.7799999999999994</v>
      </c>
      <c r="D101" s="24">
        <v>6410.75</v>
      </c>
      <c r="E101" s="25"/>
      <c r="F101" s="26"/>
      <c r="G101" s="27">
        <f>G100-D101</f>
        <v>34152.210000000006</v>
      </c>
      <c r="H101" s="28" t="s">
        <v>13</v>
      </c>
      <c r="I101" s="186" t="s">
        <v>116</v>
      </c>
      <c r="J101" s="187" t="s">
        <v>117</v>
      </c>
      <c r="K101" s="15"/>
      <c r="L101" s="416" t="s">
        <v>437</v>
      </c>
      <c r="M101" t="str">
        <f t="shared" si="8"/>
        <v/>
      </c>
      <c r="N101" t="str">
        <f t="shared" si="7"/>
        <v/>
      </c>
    </row>
    <row r="102" spans="1:14" ht="15" thickBot="1">
      <c r="A102" s="10">
        <v>46178</v>
      </c>
      <c r="B102" s="29" t="s">
        <v>82</v>
      </c>
      <c r="C102" s="30">
        <v>1.72</v>
      </c>
      <c r="D102" s="19">
        <v>1128</v>
      </c>
      <c r="E102" s="14"/>
      <c r="F102" s="15"/>
      <c r="G102" s="20">
        <f>G101-D102</f>
        <v>33024.210000000006</v>
      </c>
      <c r="H102" s="31" t="s">
        <v>13</v>
      </c>
      <c r="I102" s="186" t="s">
        <v>116</v>
      </c>
      <c r="J102" s="333" t="s">
        <v>269</v>
      </c>
      <c r="K102" s="15"/>
      <c r="L102" s="416" t="s">
        <v>437</v>
      </c>
      <c r="M102" t="str">
        <f t="shared" si="8"/>
        <v/>
      </c>
      <c r="N102" t="str">
        <f t="shared" si="7"/>
        <v/>
      </c>
    </row>
    <row r="103" spans="1:14" ht="15" thickBot="1">
      <c r="A103" s="10">
        <v>46181</v>
      </c>
      <c r="B103" s="32" t="s">
        <v>83</v>
      </c>
      <c r="C103" s="13">
        <v>30.5</v>
      </c>
      <c r="D103" s="19">
        <v>19991.13</v>
      </c>
      <c r="E103" s="15"/>
      <c r="F103" s="15"/>
      <c r="G103" s="33">
        <f>G102-D103</f>
        <v>13033.080000000005</v>
      </c>
      <c r="H103" s="31" t="s">
        <v>10</v>
      </c>
      <c r="I103" s="15" t="s">
        <v>116</v>
      </c>
      <c r="J103" s="333" t="s">
        <v>269</v>
      </c>
      <c r="K103" s="15"/>
      <c r="L103" s="416" t="s">
        <v>437</v>
      </c>
      <c r="M103" t="str">
        <f t="shared" si="8"/>
        <v/>
      </c>
      <c r="N103" t="str">
        <f t="shared" si="7"/>
        <v/>
      </c>
    </row>
    <row r="104" spans="1:14" ht="15" thickBot="1">
      <c r="A104" s="10">
        <v>46181</v>
      </c>
      <c r="B104" s="29" t="s">
        <v>31</v>
      </c>
      <c r="C104" s="19">
        <v>0.09</v>
      </c>
      <c r="D104" s="30">
        <v>59.97</v>
      </c>
      <c r="E104" s="15"/>
      <c r="F104" s="15"/>
      <c r="G104" s="33">
        <f>G103-D104</f>
        <v>12973.110000000006</v>
      </c>
      <c r="H104" s="34" t="s">
        <v>25</v>
      </c>
      <c r="I104" s="15" t="s">
        <v>116</v>
      </c>
      <c r="J104" s="117" t="s">
        <v>117</v>
      </c>
      <c r="K104" s="15"/>
      <c r="L104" s="416" t="s">
        <v>437</v>
      </c>
      <c r="M104" t="str">
        <f t="shared" si="8"/>
        <v/>
      </c>
      <c r="N104" t="str">
        <f t="shared" si="7"/>
        <v/>
      </c>
    </row>
    <row r="105" spans="1:14" ht="15" thickBot="1">
      <c r="A105" s="69">
        <v>46182</v>
      </c>
      <c r="B105" s="70" t="s">
        <v>84</v>
      </c>
      <c r="C105" s="72"/>
      <c r="D105" s="71"/>
      <c r="E105" s="72">
        <v>1753.2</v>
      </c>
      <c r="F105" s="73">
        <v>1912318.99</v>
      </c>
      <c r="G105" s="74">
        <f>G104+F105</f>
        <v>1925292.1</v>
      </c>
      <c r="H105" s="75" t="s">
        <v>85</v>
      </c>
      <c r="I105" s="15" t="s">
        <v>127</v>
      </c>
      <c r="J105" s="117" t="s">
        <v>128</v>
      </c>
      <c r="K105" s="416" t="s">
        <v>127</v>
      </c>
      <c r="L105" s="15"/>
      <c r="M105" t="str">
        <f t="shared" si="8"/>
        <v/>
      </c>
      <c r="N105" t="str">
        <f t="shared" si="7"/>
        <v/>
      </c>
    </row>
    <row r="106" spans="1:14" ht="15" thickBot="1">
      <c r="A106" s="10">
        <v>46182</v>
      </c>
      <c r="B106" s="146" t="s">
        <v>90</v>
      </c>
      <c r="C106" s="19">
        <v>251.75</v>
      </c>
      <c r="D106" s="147">
        <v>171213.13</v>
      </c>
      <c r="E106" s="35"/>
      <c r="F106" s="36"/>
      <c r="G106" s="33">
        <f t="shared" ref="G106:G111" si="10">G105-D106</f>
        <v>1754078.9700000002</v>
      </c>
      <c r="H106" s="34"/>
      <c r="I106" s="15" t="s">
        <v>119</v>
      </c>
      <c r="J106" s="117" t="s">
        <v>118</v>
      </c>
      <c r="K106" s="15"/>
      <c r="L106" s="416" t="s">
        <v>437</v>
      </c>
      <c r="M106" t="str">
        <f t="shared" si="8"/>
        <v/>
      </c>
      <c r="N106" t="str">
        <f t="shared" si="7"/>
        <v/>
      </c>
    </row>
    <row r="107" spans="1:14" ht="15" thickBot="1">
      <c r="A107" s="10">
        <v>46182</v>
      </c>
      <c r="B107" s="146" t="s">
        <v>90</v>
      </c>
      <c r="C107" s="19">
        <v>85.14</v>
      </c>
      <c r="D107" s="148">
        <v>57903.64</v>
      </c>
      <c r="E107" s="35"/>
      <c r="F107" s="36"/>
      <c r="G107" s="33">
        <f t="shared" si="10"/>
        <v>1696175.3300000003</v>
      </c>
      <c r="H107" s="34"/>
      <c r="I107" s="15" t="s">
        <v>119</v>
      </c>
      <c r="J107" s="117" t="s">
        <v>118</v>
      </c>
      <c r="K107" s="15"/>
      <c r="L107" s="416" t="s">
        <v>437</v>
      </c>
      <c r="M107" t="str">
        <f t="shared" si="8"/>
        <v/>
      </c>
      <c r="N107" t="str">
        <f t="shared" si="7"/>
        <v/>
      </c>
    </row>
    <row r="108" spans="1:14" ht="15" thickBot="1">
      <c r="A108" s="10">
        <v>46185</v>
      </c>
      <c r="B108" s="11" t="s">
        <v>86</v>
      </c>
      <c r="C108" s="19">
        <v>24.85</v>
      </c>
      <c r="D108" s="30">
        <v>16898.009999999998</v>
      </c>
      <c r="E108" s="15"/>
      <c r="F108" s="15"/>
      <c r="G108" s="33">
        <f t="shared" si="10"/>
        <v>1679277.3200000003</v>
      </c>
      <c r="H108" s="34" t="s">
        <v>13</v>
      </c>
      <c r="I108" s="15" t="s">
        <v>116</v>
      </c>
      <c r="J108" s="117" t="s">
        <v>269</v>
      </c>
      <c r="K108" s="15"/>
      <c r="L108" s="416" t="s">
        <v>437</v>
      </c>
      <c r="M108" t="str">
        <f t="shared" si="8"/>
        <v/>
      </c>
      <c r="N108" t="str">
        <f t="shared" si="7"/>
        <v/>
      </c>
    </row>
    <row r="109" spans="1:14" ht="15" thickBot="1">
      <c r="A109" s="10">
        <v>46185</v>
      </c>
      <c r="B109" s="11" t="s">
        <v>87</v>
      </c>
      <c r="C109" s="19">
        <v>18.05</v>
      </c>
      <c r="D109" s="30">
        <v>12272.52</v>
      </c>
      <c r="E109" s="15"/>
      <c r="F109" s="15"/>
      <c r="G109" s="33">
        <f t="shared" si="10"/>
        <v>1667004.8000000003</v>
      </c>
      <c r="H109" s="34" t="s">
        <v>13</v>
      </c>
      <c r="I109" s="15" t="s">
        <v>116</v>
      </c>
      <c r="J109" s="117" t="s">
        <v>269</v>
      </c>
      <c r="K109" s="15"/>
      <c r="L109" s="416" t="s">
        <v>437</v>
      </c>
      <c r="M109" t="str">
        <f t="shared" si="8"/>
        <v/>
      </c>
      <c r="N109" t="str">
        <f t="shared" si="7"/>
        <v/>
      </c>
    </row>
    <row r="110" spans="1:14" ht="15" thickBot="1">
      <c r="A110" s="10">
        <v>46185</v>
      </c>
      <c r="B110" s="11" t="s">
        <v>88</v>
      </c>
      <c r="C110" s="19">
        <v>428.63</v>
      </c>
      <c r="D110" s="30">
        <v>291500</v>
      </c>
      <c r="E110" s="15"/>
      <c r="F110" s="15"/>
      <c r="G110" s="33">
        <f t="shared" si="10"/>
        <v>1375504.8000000003</v>
      </c>
      <c r="H110" s="34" t="s">
        <v>85</v>
      </c>
      <c r="I110" s="15" t="s">
        <v>119</v>
      </c>
      <c r="J110" s="417" t="s">
        <v>447</v>
      </c>
      <c r="K110" s="15"/>
      <c r="L110" s="416" t="s">
        <v>437</v>
      </c>
      <c r="M110" t="str">
        <f t="shared" si="8"/>
        <v/>
      </c>
      <c r="N110" t="str">
        <f t="shared" si="7"/>
        <v/>
      </c>
    </row>
    <row r="111" spans="1:14" ht="15" thickBot="1">
      <c r="A111" s="10">
        <v>46185</v>
      </c>
      <c r="B111" s="11" t="s">
        <v>89</v>
      </c>
      <c r="C111" s="19">
        <v>1.29</v>
      </c>
      <c r="D111" s="30">
        <v>874.5</v>
      </c>
      <c r="E111" s="15"/>
      <c r="F111" s="15"/>
      <c r="G111" s="33">
        <f t="shared" si="10"/>
        <v>1374630.3000000003</v>
      </c>
      <c r="H111" s="34" t="s">
        <v>25</v>
      </c>
      <c r="I111" s="416" t="s">
        <v>116</v>
      </c>
      <c r="J111" s="15" t="s">
        <v>117</v>
      </c>
      <c r="K111" s="15"/>
      <c r="L111" s="416" t="s">
        <v>437</v>
      </c>
      <c r="M111" t="str">
        <f t="shared" si="8"/>
        <v/>
      </c>
      <c r="N111" t="str">
        <f t="shared" si="7"/>
        <v/>
      </c>
    </row>
    <row r="112" spans="1:14" ht="15" thickBot="1">
      <c r="A112" s="69">
        <v>46186</v>
      </c>
      <c r="B112" s="70" t="s">
        <v>92</v>
      </c>
      <c r="C112" s="72"/>
      <c r="D112" s="73"/>
      <c r="E112" s="70">
        <v>0.28999999999999998</v>
      </c>
      <c r="F112" s="70">
        <v>196</v>
      </c>
      <c r="G112" s="74">
        <f>G111+F112</f>
        <v>1374826.3000000003</v>
      </c>
      <c r="H112" s="75"/>
      <c r="I112" s="15" t="s">
        <v>127</v>
      </c>
      <c r="J112" s="516" t="s">
        <v>738</v>
      </c>
      <c r="K112" s="416" t="s">
        <v>127</v>
      </c>
      <c r="L112" s="15"/>
      <c r="M112" t="str">
        <f t="shared" si="8"/>
        <v/>
      </c>
      <c r="N112" t="str">
        <f t="shared" si="7"/>
        <v/>
      </c>
    </row>
    <row r="113" spans="1:14" ht="15" thickBot="1">
      <c r="A113" s="69">
        <v>46186</v>
      </c>
      <c r="B113" s="70" t="s">
        <v>93</v>
      </c>
      <c r="C113" s="72"/>
      <c r="D113" s="73"/>
      <c r="E113" s="70">
        <v>0.14000000000000001</v>
      </c>
      <c r="F113" s="70">
        <v>98</v>
      </c>
      <c r="G113" s="74">
        <f>G112+F113</f>
        <v>1374924.3000000003</v>
      </c>
      <c r="H113" s="75"/>
      <c r="I113" s="15" t="s">
        <v>127</v>
      </c>
      <c r="J113" s="516" t="s">
        <v>738</v>
      </c>
      <c r="K113" s="416" t="s">
        <v>127</v>
      </c>
      <c r="L113" s="15"/>
      <c r="M113" t="str">
        <f t="shared" si="8"/>
        <v/>
      </c>
      <c r="N113" t="str">
        <f t="shared" si="7"/>
        <v/>
      </c>
    </row>
    <row r="114" spans="1:14" ht="15" thickBot="1">
      <c r="A114" s="149">
        <v>46186</v>
      </c>
      <c r="B114" s="150" t="s">
        <v>94</v>
      </c>
      <c r="C114" s="151">
        <v>0</v>
      </c>
      <c r="D114" s="155">
        <v>2.94</v>
      </c>
      <c r="E114" s="150"/>
      <c r="F114" s="150"/>
      <c r="G114" s="153">
        <f>G113-D114</f>
        <v>1374921.3600000003</v>
      </c>
      <c r="H114" s="152" t="s">
        <v>25</v>
      </c>
      <c r="I114" s="15" t="s">
        <v>116</v>
      </c>
      <c r="J114" s="117" t="s">
        <v>117</v>
      </c>
      <c r="K114" s="15"/>
      <c r="L114" s="416" t="s">
        <v>437</v>
      </c>
      <c r="M114" t="str">
        <f t="shared" si="8"/>
        <v/>
      </c>
      <c r="N114" t="str">
        <f t="shared" si="7"/>
        <v/>
      </c>
    </row>
    <row r="115" spans="1:14" ht="15" thickBot="1">
      <c r="A115" s="149">
        <v>46186</v>
      </c>
      <c r="B115" s="150" t="s">
        <v>94</v>
      </c>
      <c r="C115" s="151">
        <v>0</v>
      </c>
      <c r="D115" s="155">
        <v>1.47</v>
      </c>
      <c r="E115" s="150"/>
      <c r="F115" s="150"/>
      <c r="G115" s="153">
        <f>G114-D115</f>
        <v>1374919.8900000004</v>
      </c>
      <c r="H115" s="152" t="s">
        <v>25</v>
      </c>
      <c r="I115" s="15" t="s">
        <v>116</v>
      </c>
      <c r="J115" s="117" t="s">
        <v>117</v>
      </c>
      <c r="K115" s="15"/>
      <c r="L115" s="416" t="s">
        <v>437</v>
      </c>
      <c r="M115" t="str">
        <f t="shared" si="8"/>
        <v/>
      </c>
      <c r="N115" t="str">
        <f t="shared" si="7"/>
        <v/>
      </c>
    </row>
    <row r="116" spans="1:14" ht="15" thickBot="1">
      <c r="A116" s="10">
        <v>46188</v>
      </c>
      <c r="B116" s="146" t="s">
        <v>91</v>
      </c>
      <c r="C116" s="19">
        <v>1266.8</v>
      </c>
      <c r="D116" s="30">
        <v>861527.09</v>
      </c>
      <c r="E116" s="15"/>
      <c r="F116" s="15"/>
      <c r="G116" s="154">
        <f>G115-D116</f>
        <v>513392.8000000004</v>
      </c>
      <c r="H116" s="156" t="s">
        <v>10</v>
      </c>
      <c r="I116" s="15" t="s">
        <v>119</v>
      </c>
      <c r="J116" s="117" t="s">
        <v>121</v>
      </c>
      <c r="K116" s="15"/>
      <c r="L116" s="416" t="s">
        <v>437</v>
      </c>
      <c r="M116" t="str">
        <f t="shared" si="8"/>
        <v/>
      </c>
      <c r="N116" t="str">
        <f t="shared" si="7"/>
        <v/>
      </c>
    </row>
    <row r="117" spans="1:14" ht="15" thickBot="1">
      <c r="A117" s="10">
        <v>46189</v>
      </c>
      <c r="B117" s="146" t="s">
        <v>31</v>
      </c>
      <c r="C117" s="19">
        <v>3.8</v>
      </c>
      <c r="D117" s="30">
        <v>2584.58</v>
      </c>
      <c r="E117" s="15"/>
      <c r="F117" s="15"/>
      <c r="G117" s="154">
        <f>G116-D117</f>
        <v>510808.22000000038</v>
      </c>
      <c r="H117" s="156" t="s">
        <v>25</v>
      </c>
      <c r="I117" s="15" t="s">
        <v>119</v>
      </c>
      <c r="J117" s="117" t="s">
        <v>121</v>
      </c>
      <c r="K117" s="15"/>
      <c r="L117" s="416" t="s">
        <v>437</v>
      </c>
      <c r="M117" t="str">
        <f t="shared" si="8"/>
        <v/>
      </c>
      <c r="N117" t="str">
        <f t="shared" si="7"/>
        <v/>
      </c>
    </row>
    <row r="118" spans="1:14" ht="15" thickBot="1">
      <c r="A118" s="69">
        <v>46189</v>
      </c>
      <c r="B118" s="70" t="s">
        <v>110</v>
      </c>
      <c r="C118" s="72"/>
      <c r="D118" s="73"/>
      <c r="E118" s="381">
        <v>8162.63</v>
      </c>
      <c r="F118" s="72">
        <v>4836492.6100000003</v>
      </c>
      <c r="G118" s="74">
        <f>G117+F118</f>
        <v>5347300.830000001</v>
      </c>
      <c r="H118" s="75" t="s">
        <v>10</v>
      </c>
      <c r="I118" s="15" t="s">
        <v>127</v>
      </c>
      <c r="J118" s="516" t="s">
        <v>737</v>
      </c>
      <c r="K118" s="416" t="s">
        <v>127</v>
      </c>
      <c r="L118" s="15"/>
      <c r="M118" t="str">
        <f t="shared" si="8"/>
        <v/>
      </c>
      <c r="N118" t="str">
        <f t="shared" si="7"/>
        <v/>
      </c>
    </row>
    <row r="119" spans="1:14" ht="15" thickBot="1">
      <c r="A119" s="10">
        <v>46189</v>
      </c>
      <c r="B119" s="171" t="s">
        <v>96</v>
      </c>
      <c r="C119" s="19">
        <v>430.8</v>
      </c>
      <c r="D119" s="30">
        <v>296258.15000000002</v>
      </c>
      <c r="E119" s="15"/>
      <c r="F119" s="15"/>
      <c r="G119" s="33">
        <f t="shared" ref="G119:G124" si="11">G118-D119</f>
        <v>5051042.6800000006</v>
      </c>
      <c r="H119" s="172" t="s">
        <v>10</v>
      </c>
      <c r="I119" s="15" t="s">
        <v>119</v>
      </c>
      <c r="J119" s="117" t="s">
        <v>121</v>
      </c>
      <c r="K119" s="15"/>
      <c r="L119" s="416" t="s">
        <v>437</v>
      </c>
      <c r="M119" t="str">
        <f t="shared" si="8"/>
        <v/>
      </c>
      <c r="N119" t="str">
        <f t="shared" si="7"/>
        <v/>
      </c>
    </row>
    <row r="120" spans="1:14" ht="15" thickBot="1">
      <c r="A120" s="10">
        <v>46189</v>
      </c>
      <c r="B120" s="171" t="s">
        <v>31</v>
      </c>
      <c r="C120" s="19">
        <v>1.29</v>
      </c>
      <c r="D120" s="30">
        <v>888.77</v>
      </c>
      <c r="E120" s="15"/>
      <c r="F120" s="15"/>
      <c r="G120" s="33">
        <f t="shared" si="11"/>
        <v>5050153.9100000011</v>
      </c>
      <c r="H120" s="172" t="s">
        <v>25</v>
      </c>
      <c r="I120" s="15" t="s">
        <v>119</v>
      </c>
      <c r="J120" s="117" t="s">
        <v>121</v>
      </c>
      <c r="K120" s="15"/>
      <c r="L120" s="416" t="s">
        <v>437</v>
      </c>
      <c r="M120" t="str">
        <f t="shared" si="8"/>
        <v/>
      </c>
      <c r="N120" t="str">
        <f t="shared" si="7"/>
        <v/>
      </c>
    </row>
    <row r="121" spans="1:14" ht="15" thickBot="1">
      <c r="A121" s="10">
        <v>46189</v>
      </c>
      <c r="B121" s="174" t="s">
        <v>99</v>
      </c>
      <c r="C121" s="19">
        <v>250</v>
      </c>
      <c r="D121" s="30">
        <v>171924.53</v>
      </c>
      <c r="E121" s="15"/>
      <c r="F121" s="15"/>
      <c r="G121" s="33">
        <f t="shared" si="11"/>
        <v>4878229.3800000008</v>
      </c>
      <c r="H121" s="175" t="s">
        <v>10</v>
      </c>
      <c r="I121" s="15" t="s">
        <v>119</v>
      </c>
      <c r="J121" s="117" t="s">
        <v>121</v>
      </c>
      <c r="K121" s="15"/>
      <c r="L121" s="416" t="s">
        <v>437</v>
      </c>
      <c r="M121" t="str">
        <f t="shared" si="8"/>
        <v/>
      </c>
      <c r="N121" t="str">
        <f t="shared" si="7"/>
        <v/>
      </c>
    </row>
    <row r="122" spans="1:14" ht="15" thickBot="1">
      <c r="A122" s="10">
        <v>46189</v>
      </c>
      <c r="B122" s="174" t="s">
        <v>31</v>
      </c>
      <c r="C122" s="19">
        <v>0.75</v>
      </c>
      <c r="D122" s="30">
        <v>515.77</v>
      </c>
      <c r="E122" s="15"/>
      <c r="F122" s="15"/>
      <c r="G122" s="33">
        <f t="shared" si="11"/>
        <v>4877713.6100000013</v>
      </c>
      <c r="H122" s="175" t="s">
        <v>25</v>
      </c>
      <c r="I122" s="15" t="s">
        <v>119</v>
      </c>
      <c r="J122" s="117" t="s">
        <v>121</v>
      </c>
      <c r="K122" s="15"/>
      <c r="L122" s="416" t="s">
        <v>437</v>
      </c>
      <c r="M122" t="str">
        <f t="shared" si="8"/>
        <v/>
      </c>
      <c r="N122" t="str">
        <f t="shared" si="7"/>
        <v/>
      </c>
    </row>
    <row r="123" spans="1:14" ht="15" thickBot="1">
      <c r="A123" s="10">
        <v>46189</v>
      </c>
      <c r="B123" s="173" t="s">
        <v>97</v>
      </c>
      <c r="C123" s="19">
        <v>646.20000000000005</v>
      </c>
      <c r="D123" s="30">
        <v>444387.23</v>
      </c>
      <c r="E123" s="15"/>
      <c r="F123" s="15"/>
      <c r="G123" s="33">
        <f t="shared" si="11"/>
        <v>4433326.3800000008</v>
      </c>
      <c r="H123" s="172" t="s">
        <v>10</v>
      </c>
      <c r="I123" s="15" t="s">
        <v>119</v>
      </c>
      <c r="J123" s="117" t="s">
        <v>121</v>
      </c>
      <c r="K123" s="15"/>
      <c r="L123" s="416" t="s">
        <v>437</v>
      </c>
      <c r="M123" t="str">
        <f t="shared" si="8"/>
        <v/>
      </c>
      <c r="N123" t="str">
        <f t="shared" si="7"/>
        <v/>
      </c>
    </row>
    <row r="124" spans="1:14" ht="15" thickBot="1">
      <c r="A124" s="10">
        <v>46189</v>
      </c>
      <c r="B124" s="171" t="s">
        <v>31</v>
      </c>
      <c r="C124" s="19">
        <v>1.94</v>
      </c>
      <c r="D124" s="30">
        <v>1333.16</v>
      </c>
      <c r="E124" s="15"/>
      <c r="F124" s="15"/>
      <c r="G124" s="33">
        <f t="shared" si="11"/>
        <v>4431993.2200000007</v>
      </c>
      <c r="H124" s="172" t="s">
        <v>25</v>
      </c>
      <c r="I124" s="15" t="s">
        <v>119</v>
      </c>
      <c r="J124" s="117" t="s">
        <v>121</v>
      </c>
      <c r="K124" s="15"/>
      <c r="L124" s="416" t="s">
        <v>437</v>
      </c>
      <c r="M124" t="str">
        <f t="shared" si="8"/>
        <v/>
      </c>
      <c r="N124" t="str">
        <f t="shared" si="7"/>
        <v/>
      </c>
    </row>
    <row r="125" spans="1:14" ht="15" thickBot="1">
      <c r="A125" s="10">
        <v>46190</v>
      </c>
      <c r="B125" s="64" t="s">
        <v>98</v>
      </c>
      <c r="C125" s="19">
        <v>388.05</v>
      </c>
      <c r="D125" s="30">
        <v>268552.08</v>
      </c>
      <c r="E125" s="15"/>
      <c r="F125" s="15"/>
      <c r="G125" s="33">
        <f>G124-D125</f>
        <v>4163441.1400000006</v>
      </c>
      <c r="H125" s="8" t="s">
        <v>10</v>
      </c>
      <c r="I125" s="15" t="s">
        <v>119</v>
      </c>
      <c r="J125" s="417" t="s">
        <v>117</v>
      </c>
      <c r="K125" s="15"/>
      <c r="L125" s="416" t="s">
        <v>437</v>
      </c>
      <c r="M125" t="str">
        <f t="shared" si="8"/>
        <v/>
      </c>
      <c r="N125" t="str">
        <f t="shared" si="7"/>
        <v/>
      </c>
    </row>
    <row r="126" spans="1:14" ht="15" thickBot="1">
      <c r="A126" s="10">
        <v>46190</v>
      </c>
      <c r="B126" s="15" t="s">
        <v>31</v>
      </c>
      <c r="C126" s="19">
        <v>1.1599999999999999</v>
      </c>
      <c r="D126" s="30">
        <v>805.65</v>
      </c>
      <c r="E126" s="15"/>
      <c r="F126" s="15"/>
      <c r="G126" s="33">
        <f>G125-D126</f>
        <v>4162635.4900000007</v>
      </c>
      <c r="H126" s="8" t="s">
        <v>25</v>
      </c>
      <c r="I126" s="15" t="s">
        <v>119</v>
      </c>
      <c r="J126" s="417" t="s">
        <v>117</v>
      </c>
      <c r="K126" s="15"/>
      <c r="L126" s="416" t="s">
        <v>437</v>
      </c>
      <c r="M126" t="str">
        <f t="shared" si="8"/>
        <v/>
      </c>
      <c r="N126" t="str">
        <f t="shared" si="7"/>
        <v/>
      </c>
    </row>
    <row r="127" spans="1:14" ht="15" thickBot="1">
      <c r="A127" s="69">
        <v>46192</v>
      </c>
      <c r="B127" s="70" t="s">
        <v>106</v>
      </c>
      <c r="C127" s="72"/>
      <c r="D127" s="73"/>
      <c r="E127" s="70">
        <v>0.01</v>
      </c>
      <c r="F127" s="70">
        <v>4.9000000000000004</v>
      </c>
      <c r="G127" s="74">
        <f>G126+F127</f>
        <v>4162640.3900000006</v>
      </c>
      <c r="H127" s="75" t="s">
        <v>25</v>
      </c>
      <c r="I127" s="15" t="s">
        <v>127</v>
      </c>
      <c r="J127" s="516" t="s">
        <v>738</v>
      </c>
      <c r="K127" s="416" t="s">
        <v>127</v>
      </c>
      <c r="L127" s="15"/>
      <c r="M127" t="str">
        <f t="shared" si="8"/>
        <v/>
      </c>
      <c r="N127" t="str">
        <f t="shared" si="7"/>
        <v/>
      </c>
    </row>
    <row r="128" spans="1:14" ht="15" thickBot="1">
      <c r="A128" s="10">
        <v>46192</v>
      </c>
      <c r="B128" s="176" t="s">
        <v>100</v>
      </c>
      <c r="C128" s="19">
        <v>19.670000000000002</v>
      </c>
      <c r="D128" s="30">
        <v>11947.37</v>
      </c>
      <c r="E128" s="15"/>
      <c r="F128" s="15"/>
      <c r="G128" s="33">
        <f t="shared" ref="G128:G141" si="12">G127-D128</f>
        <v>4150693.0200000005</v>
      </c>
      <c r="H128" s="177" t="s">
        <v>13</v>
      </c>
      <c r="I128" s="15" t="s">
        <v>116</v>
      </c>
      <c r="J128" s="117" t="s">
        <v>20</v>
      </c>
      <c r="K128" s="15"/>
      <c r="L128" s="416" t="s">
        <v>437</v>
      </c>
      <c r="M128" t="str">
        <f t="shared" si="8"/>
        <v/>
      </c>
      <c r="N128" t="str">
        <f t="shared" si="7"/>
        <v/>
      </c>
    </row>
    <row r="129" spans="1:14" ht="29.5" thickBot="1">
      <c r="A129" s="10">
        <v>46192</v>
      </c>
      <c r="B129" s="64" t="s">
        <v>101</v>
      </c>
      <c r="C129" s="19">
        <v>2993.13</v>
      </c>
      <c r="D129" s="30">
        <v>2087302.26</v>
      </c>
      <c r="E129" s="15"/>
      <c r="F129" s="15"/>
      <c r="G129" s="33">
        <f t="shared" si="12"/>
        <v>2063390.7600000005</v>
      </c>
      <c r="H129" s="8" t="s">
        <v>10</v>
      </c>
      <c r="I129" s="15" t="s">
        <v>119</v>
      </c>
      <c r="J129" s="417" t="s">
        <v>446</v>
      </c>
      <c r="K129" s="15"/>
      <c r="L129" s="416" t="s">
        <v>437</v>
      </c>
      <c r="M129" t="str">
        <f t="shared" si="8"/>
        <v/>
      </c>
      <c r="N129" t="str">
        <f t="shared" si="7"/>
        <v/>
      </c>
    </row>
    <row r="130" spans="1:14" ht="15" thickBot="1">
      <c r="A130" s="10">
        <v>46192</v>
      </c>
      <c r="B130" s="15" t="s">
        <v>31</v>
      </c>
      <c r="C130" s="19">
        <v>8.98</v>
      </c>
      <c r="D130" s="30">
        <v>6261.9</v>
      </c>
      <c r="E130" s="15"/>
      <c r="F130" s="15"/>
      <c r="G130" s="33">
        <f t="shared" si="12"/>
        <v>2057128.8600000006</v>
      </c>
      <c r="H130" s="8" t="s">
        <v>25</v>
      </c>
      <c r="I130" s="416" t="s">
        <v>116</v>
      </c>
      <c r="J130" s="15" t="s">
        <v>117</v>
      </c>
      <c r="K130" s="15"/>
      <c r="L130" s="416" t="s">
        <v>437</v>
      </c>
      <c r="M130" t="str">
        <f t="shared" si="8"/>
        <v/>
      </c>
      <c r="N130" t="str">
        <f t="shared" si="7"/>
        <v/>
      </c>
    </row>
    <row r="131" spans="1:14" ht="15" thickBot="1">
      <c r="A131" s="10">
        <v>46192</v>
      </c>
      <c r="B131" s="15" t="s">
        <v>102</v>
      </c>
      <c r="C131" s="19">
        <v>298.05</v>
      </c>
      <c r="D131" s="30">
        <v>207849.51</v>
      </c>
      <c r="E131" s="15"/>
      <c r="F131" s="15"/>
      <c r="G131" s="33">
        <f t="shared" si="12"/>
        <v>1849279.3500000006</v>
      </c>
      <c r="H131" s="8" t="s">
        <v>10</v>
      </c>
      <c r="I131" s="15" t="s">
        <v>116</v>
      </c>
      <c r="J131" s="117" t="s">
        <v>269</v>
      </c>
      <c r="K131" s="15"/>
      <c r="L131" s="416" t="s">
        <v>437</v>
      </c>
      <c r="M131" t="str">
        <f t="shared" si="8"/>
        <v/>
      </c>
      <c r="N131" t="str">
        <f t="shared" si="7"/>
        <v/>
      </c>
    </row>
    <row r="132" spans="1:14" ht="15" thickBot="1">
      <c r="A132" s="10">
        <v>46192</v>
      </c>
      <c r="B132" s="15" t="s">
        <v>31</v>
      </c>
      <c r="C132" s="19">
        <v>0.89</v>
      </c>
      <c r="D132" s="30">
        <v>623.54</v>
      </c>
      <c r="E132" s="15"/>
      <c r="F132" s="15"/>
      <c r="G132" s="33">
        <f t="shared" si="12"/>
        <v>1848655.8100000005</v>
      </c>
      <c r="H132" s="8" t="s">
        <v>25</v>
      </c>
      <c r="I132" s="15" t="s">
        <v>116</v>
      </c>
      <c r="J132" s="117" t="s">
        <v>269</v>
      </c>
      <c r="K132" s="15"/>
      <c r="L132" s="416" t="s">
        <v>437</v>
      </c>
      <c r="M132" t="str">
        <f t="shared" si="8"/>
        <v/>
      </c>
      <c r="N132" t="str">
        <f t="shared" ref="N132:N195" si="13">IF(C132="","",IF(C132=D132,"OJOOO",""))</f>
        <v/>
      </c>
    </row>
    <row r="133" spans="1:14" ht="15" thickBot="1">
      <c r="A133" s="10">
        <v>46192</v>
      </c>
      <c r="B133" s="15" t="s">
        <v>103</v>
      </c>
      <c r="C133" s="19">
        <v>1306.47</v>
      </c>
      <c r="D133" s="30">
        <v>911087.85</v>
      </c>
      <c r="E133" s="15"/>
      <c r="F133" s="15"/>
      <c r="G133" s="33">
        <f t="shared" si="12"/>
        <v>937567.96000000054</v>
      </c>
      <c r="H133" s="8" t="s">
        <v>10</v>
      </c>
      <c r="I133" s="15" t="s">
        <v>116</v>
      </c>
      <c r="J133" s="117" t="s">
        <v>269</v>
      </c>
      <c r="K133" s="15"/>
      <c r="L133" s="416" t="s">
        <v>437</v>
      </c>
      <c r="M133" t="str">
        <f t="shared" si="8"/>
        <v/>
      </c>
      <c r="N133" t="str">
        <f t="shared" si="13"/>
        <v/>
      </c>
    </row>
    <row r="134" spans="1:14" ht="15" thickBot="1">
      <c r="A134" s="10">
        <v>46192</v>
      </c>
      <c r="B134" s="15" t="s">
        <v>31</v>
      </c>
      <c r="C134" s="19">
        <v>3.92</v>
      </c>
      <c r="D134" s="30">
        <v>2733.26</v>
      </c>
      <c r="E134" s="15"/>
      <c r="F134" s="15"/>
      <c r="G134" s="33">
        <f t="shared" si="12"/>
        <v>934834.70000000054</v>
      </c>
      <c r="H134" s="8" t="s">
        <v>25</v>
      </c>
      <c r="I134" s="15" t="s">
        <v>116</v>
      </c>
      <c r="J134" s="117" t="s">
        <v>269</v>
      </c>
      <c r="K134" s="15"/>
      <c r="L134" s="416" t="s">
        <v>437</v>
      </c>
      <c r="M134" t="str">
        <f t="shared" si="8"/>
        <v/>
      </c>
      <c r="N134" t="str">
        <f t="shared" si="13"/>
        <v/>
      </c>
    </row>
    <row r="135" spans="1:14" ht="15" thickBot="1">
      <c r="A135" s="10">
        <v>46192</v>
      </c>
      <c r="B135" s="15" t="s">
        <v>104</v>
      </c>
      <c r="C135" s="19">
        <v>87.1</v>
      </c>
      <c r="D135" s="30">
        <v>60739.19</v>
      </c>
      <c r="E135" s="15"/>
      <c r="F135" s="15"/>
      <c r="G135" s="33">
        <f t="shared" si="12"/>
        <v>874095.51000000047</v>
      </c>
      <c r="H135" s="8" t="s">
        <v>10</v>
      </c>
      <c r="I135" s="15" t="s">
        <v>116</v>
      </c>
      <c r="J135" s="117" t="s">
        <v>269</v>
      </c>
      <c r="K135" s="15"/>
      <c r="L135" s="416" t="s">
        <v>437</v>
      </c>
      <c r="M135" t="str">
        <f t="shared" si="8"/>
        <v/>
      </c>
      <c r="N135" t="str">
        <f t="shared" si="13"/>
        <v/>
      </c>
    </row>
    <row r="136" spans="1:14" ht="15" thickBot="1">
      <c r="A136" s="10">
        <v>46195</v>
      </c>
      <c r="B136" s="15" t="s">
        <v>107</v>
      </c>
      <c r="C136" s="19">
        <v>231.2</v>
      </c>
      <c r="D136" s="30">
        <v>141594.56</v>
      </c>
      <c r="E136" s="15"/>
      <c r="F136" s="15"/>
      <c r="G136" s="33">
        <f t="shared" si="12"/>
        <v>732500.95000000042</v>
      </c>
      <c r="H136" s="8"/>
      <c r="I136" s="15" t="s">
        <v>119</v>
      </c>
      <c r="J136" s="117" t="s">
        <v>121</v>
      </c>
      <c r="K136" s="15"/>
      <c r="L136" s="416" t="s">
        <v>437</v>
      </c>
      <c r="M136" t="str">
        <f t="shared" si="8"/>
        <v/>
      </c>
      <c r="N136" t="str">
        <f t="shared" si="13"/>
        <v/>
      </c>
    </row>
    <row r="137" spans="1:14" ht="15" thickBot="1">
      <c r="A137" s="10">
        <v>46195</v>
      </c>
      <c r="B137" s="15" t="s">
        <v>31</v>
      </c>
      <c r="C137" s="19">
        <v>0.69</v>
      </c>
      <c r="D137" s="30">
        <v>424.78</v>
      </c>
      <c r="E137" s="15"/>
      <c r="F137" s="15"/>
      <c r="G137" s="33">
        <f t="shared" si="12"/>
        <v>732076.17000000039</v>
      </c>
      <c r="H137" s="8"/>
      <c r="I137" s="15" t="s">
        <v>119</v>
      </c>
      <c r="J137" s="117" t="s">
        <v>121</v>
      </c>
      <c r="K137" s="15"/>
      <c r="L137" s="416" t="s">
        <v>437</v>
      </c>
      <c r="M137" t="str">
        <f t="shared" si="8"/>
        <v/>
      </c>
      <c r="N137" t="str">
        <f t="shared" si="13"/>
        <v/>
      </c>
    </row>
    <row r="138" spans="1:14" ht="29.5" thickBot="1">
      <c r="A138" s="10">
        <v>46195</v>
      </c>
      <c r="B138" s="64" t="s">
        <v>105</v>
      </c>
      <c r="C138" s="19">
        <v>992.92</v>
      </c>
      <c r="D138" s="30">
        <v>698173.85</v>
      </c>
      <c r="E138" s="15"/>
      <c r="F138" s="15"/>
      <c r="G138" s="33">
        <f t="shared" si="12"/>
        <v>33902.320000000414</v>
      </c>
      <c r="H138" s="8" t="s">
        <v>10</v>
      </c>
      <c r="I138" s="15" t="s">
        <v>119</v>
      </c>
      <c r="J138" s="417" t="s">
        <v>446</v>
      </c>
      <c r="K138" s="15"/>
      <c r="L138" s="416" t="s">
        <v>437</v>
      </c>
      <c r="M138" t="str">
        <f t="shared" si="8"/>
        <v/>
      </c>
      <c r="N138" t="str">
        <f t="shared" si="13"/>
        <v/>
      </c>
    </row>
    <row r="139" spans="1:14" ht="15" thickBot="1">
      <c r="A139" s="10">
        <v>46195</v>
      </c>
      <c r="B139" s="15" t="s">
        <v>31</v>
      </c>
      <c r="C139" s="19">
        <v>2.98</v>
      </c>
      <c r="D139" s="30">
        <v>2094.52</v>
      </c>
      <c r="E139" s="15"/>
      <c r="F139" s="15"/>
      <c r="G139" s="33">
        <f t="shared" si="12"/>
        <v>31807.800000000414</v>
      </c>
      <c r="H139" s="8" t="s">
        <v>25</v>
      </c>
      <c r="I139" s="416" t="s">
        <v>116</v>
      </c>
      <c r="J139" s="15" t="s">
        <v>117</v>
      </c>
      <c r="K139" s="15"/>
      <c r="L139" s="416" t="s">
        <v>437</v>
      </c>
      <c r="M139" t="str">
        <f t="shared" si="8"/>
        <v/>
      </c>
      <c r="N139" t="str">
        <f t="shared" si="13"/>
        <v/>
      </c>
    </row>
    <row r="140" spans="1:14" ht="15" thickBot="1">
      <c r="A140" s="10">
        <v>46195</v>
      </c>
      <c r="B140" s="179" t="s">
        <v>108</v>
      </c>
      <c r="C140" s="19">
        <v>13.25</v>
      </c>
      <c r="D140" s="30">
        <v>9370.18</v>
      </c>
      <c r="E140" s="15"/>
      <c r="F140" s="15"/>
      <c r="G140" s="33">
        <f t="shared" si="12"/>
        <v>22437.620000000414</v>
      </c>
      <c r="H140" s="178"/>
      <c r="I140" s="15" t="s">
        <v>116</v>
      </c>
      <c r="J140" s="117" t="s">
        <v>20</v>
      </c>
      <c r="K140" s="15"/>
      <c r="L140" s="416" t="s">
        <v>437</v>
      </c>
      <c r="M140" t="str">
        <f t="shared" si="8"/>
        <v/>
      </c>
      <c r="N140" t="str">
        <f t="shared" si="13"/>
        <v/>
      </c>
    </row>
    <row r="141" spans="1:14" ht="15" thickBot="1">
      <c r="A141" s="10">
        <v>46195</v>
      </c>
      <c r="B141" s="179" t="s">
        <v>109</v>
      </c>
      <c r="C141" s="19">
        <v>7.54</v>
      </c>
      <c r="D141" s="30">
        <v>5328.14</v>
      </c>
      <c r="E141" s="15"/>
      <c r="F141" s="15"/>
      <c r="G141" s="33">
        <f t="shared" si="12"/>
        <v>17109.480000000414</v>
      </c>
      <c r="H141" s="178" t="s">
        <v>25</v>
      </c>
      <c r="I141" s="15" t="s">
        <v>116</v>
      </c>
      <c r="J141" s="117" t="s">
        <v>20</v>
      </c>
      <c r="K141" s="15"/>
      <c r="L141" s="416" t="s">
        <v>437</v>
      </c>
      <c r="M141" t="str">
        <f t="shared" si="8"/>
        <v/>
      </c>
      <c r="N141" t="str">
        <f t="shared" si="13"/>
        <v/>
      </c>
    </row>
    <row r="142" spans="1:14" ht="15" thickBot="1">
      <c r="A142" s="69">
        <v>46196</v>
      </c>
      <c r="B142" s="70" t="s">
        <v>110</v>
      </c>
      <c r="C142" s="72"/>
      <c r="D142" s="73"/>
      <c r="E142" s="381">
        <v>5868.36</v>
      </c>
      <c r="F142" s="72">
        <v>4148454.74</v>
      </c>
      <c r="G142" s="74">
        <f>G141+F142</f>
        <v>4165564.2200000007</v>
      </c>
      <c r="H142" s="75" t="s">
        <v>10</v>
      </c>
      <c r="I142" s="15" t="s">
        <v>127</v>
      </c>
      <c r="J142" s="558" t="s">
        <v>737</v>
      </c>
      <c r="K142" s="416" t="s">
        <v>127</v>
      </c>
      <c r="L142" s="15"/>
      <c r="M142" t="str">
        <f t="shared" si="8"/>
        <v/>
      </c>
      <c r="N142" t="str">
        <f t="shared" si="13"/>
        <v/>
      </c>
    </row>
    <row r="143" spans="1:14" ht="15" thickBot="1">
      <c r="A143" s="69">
        <v>46196</v>
      </c>
      <c r="B143" s="70" t="s">
        <v>111</v>
      </c>
      <c r="C143" s="72"/>
      <c r="D143" s="73"/>
      <c r="E143" s="70">
        <v>23.37</v>
      </c>
      <c r="F143" s="72">
        <v>16521.16</v>
      </c>
      <c r="G143" s="74">
        <f>G142+F143</f>
        <v>4182085.3800000008</v>
      </c>
      <c r="H143" s="75" t="s">
        <v>13</v>
      </c>
      <c r="I143" s="15" t="s">
        <v>127</v>
      </c>
      <c r="J143" s="558" t="s">
        <v>738</v>
      </c>
      <c r="K143" s="416" t="s">
        <v>127</v>
      </c>
      <c r="L143" s="15"/>
      <c r="M143" t="str">
        <f t="shared" si="8"/>
        <v/>
      </c>
      <c r="N143" t="str">
        <f t="shared" si="13"/>
        <v/>
      </c>
    </row>
    <row r="144" spans="1:14" ht="15" thickBot="1">
      <c r="A144" s="69">
        <v>46196</v>
      </c>
      <c r="B144" s="70" t="s">
        <v>112</v>
      </c>
      <c r="C144" s="72"/>
      <c r="D144" s="73"/>
      <c r="E144" s="70">
        <v>17.53</v>
      </c>
      <c r="F144" s="72">
        <v>12390.87</v>
      </c>
      <c r="G144" s="74">
        <f>G143+F144</f>
        <v>4194476.2500000009</v>
      </c>
      <c r="H144" s="75" t="s">
        <v>13</v>
      </c>
      <c r="I144" s="15" t="s">
        <v>127</v>
      </c>
      <c r="J144" s="558" t="s">
        <v>738</v>
      </c>
      <c r="K144" s="416" t="s">
        <v>127</v>
      </c>
      <c r="L144" s="15"/>
      <c r="M144" t="str">
        <f t="shared" si="8"/>
        <v/>
      </c>
      <c r="N144" t="str">
        <f t="shared" si="13"/>
        <v/>
      </c>
    </row>
    <row r="145" spans="1:14" ht="15" thickBot="1">
      <c r="A145" s="10">
        <v>46196</v>
      </c>
      <c r="B145" s="15" t="s">
        <v>94</v>
      </c>
      <c r="C145" s="19">
        <v>0.35</v>
      </c>
      <c r="D145" s="30">
        <v>247.81</v>
      </c>
      <c r="E145" s="15"/>
      <c r="F145" s="15"/>
      <c r="G145" s="33">
        <f>G144-D145</f>
        <v>4194228.4400000009</v>
      </c>
      <c r="H145" s="8" t="s">
        <v>13</v>
      </c>
      <c r="I145" s="15" t="s">
        <v>116</v>
      </c>
      <c r="J145" s="117" t="s">
        <v>117</v>
      </c>
      <c r="K145" s="15"/>
      <c r="L145" s="416" t="s">
        <v>437</v>
      </c>
      <c r="M145" t="str">
        <f t="shared" si="8"/>
        <v/>
      </c>
      <c r="N145" t="str">
        <f t="shared" si="13"/>
        <v/>
      </c>
    </row>
    <row r="146" spans="1:14" ht="15" thickBot="1">
      <c r="A146" s="10">
        <v>46196</v>
      </c>
      <c r="B146" s="15" t="s">
        <v>94</v>
      </c>
      <c r="C146" s="180">
        <v>0.26</v>
      </c>
      <c r="D146" s="30">
        <v>185.86</v>
      </c>
      <c r="E146" s="15"/>
      <c r="F146" s="15"/>
      <c r="G146" s="33">
        <f>G145-D146</f>
        <v>4194042.580000001</v>
      </c>
      <c r="H146" s="8" t="s">
        <v>13</v>
      </c>
      <c r="I146" s="15" t="s">
        <v>116</v>
      </c>
      <c r="J146" s="117" t="s">
        <v>117</v>
      </c>
      <c r="K146" s="15"/>
      <c r="L146" s="416" t="s">
        <v>437</v>
      </c>
      <c r="M146" t="str">
        <f t="shared" si="8"/>
        <v/>
      </c>
      <c r="N146" t="str">
        <f t="shared" si="13"/>
        <v/>
      </c>
    </row>
    <row r="147" spans="1:14" ht="15" thickBot="1">
      <c r="A147" s="69">
        <v>46196</v>
      </c>
      <c r="B147" s="378" t="s">
        <v>113</v>
      </c>
      <c r="C147" s="70"/>
      <c r="D147" s="70"/>
      <c r="E147" s="72">
        <v>30</v>
      </c>
      <c r="F147" s="73">
        <v>21207.3</v>
      </c>
      <c r="G147" s="74">
        <f>G146+F147</f>
        <v>4215249.8800000008</v>
      </c>
      <c r="H147" s="75" t="s">
        <v>10</v>
      </c>
      <c r="I147" s="15" t="s">
        <v>127</v>
      </c>
      <c r="J147" s="516" t="s">
        <v>740</v>
      </c>
      <c r="K147" s="416" t="s">
        <v>127</v>
      </c>
      <c r="L147" s="15"/>
      <c r="M147" t="str">
        <f t="shared" si="8"/>
        <v/>
      </c>
      <c r="N147" t="str">
        <f t="shared" si="13"/>
        <v/>
      </c>
    </row>
    <row r="148" spans="1:14" ht="15" thickBot="1">
      <c r="A148" s="209">
        <v>46196</v>
      </c>
      <c r="B148" s="210" t="s">
        <v>138</v>
      </c>
      <c r="C148" s="215">
        <v>43.57</v>
      </c>
      <c r="D148" s="216">
        <v>30820.17</v>
      </c>
      <c r="E148" s="213"/>
      <c r="F148" s="212"/>
      <c r="G148" s="217">
        <f>G147-D148</f>
        <v>4184429.7100000009</v>
      </c>
      <c r="H148" s="250" t="s">
        <v>25</v>
      </c>
      <c r="I148" s="255" t="s">
        <v>119</v>
      </c>
      <c r="J148" s="297" t="s">
        <v>129</v>
      </c>
      <c r="K148" s="416"/>
      <c r="L148" s="416" t="s">
        <v>437</v>
      </c>
      <c r="M148" t="str">
        <f t="shared" ref="M148:M211" si="14">IF(E148="","",IF(E148=F148,"OJOOO",""))</f>
        <v/>
      </c>
      <c r="N148" t="str">
        <f t="shared" si="13"/>
        <v/>
      </c>
    </row>
    <row r="149" spans="1:14" ht="15" thickBot="1">
      <c r="A149" s="69">
        <v>46197</v>
      </c>
      <c r="B149" s="378" t="s">
        <v>123</v>
      </c>
      <c r="C149" s="72"/>
      <c r="D149" s="73"/>
      <c r="E149" s="70">
        <v>52.89</v>
      </c>
      <c r="F149" s="72">
        <v>37417.589999999997</v>
      </c>
      <c r="G149" s="74">
        <f>G148+F149</f>
        <v>4221847.3000000007</v>
      </c>
      <c r="H149" s="75" t="s">
        <v>13</v>
      </c>
      <c r="I149" s="255" t="s">
        <v>127</v>
      </c>
      <c r="J149" s="517" t="s">
        <v>738</v>
      </c>
      <c r="K149" s="416" t="s">
        <v>127</v>
      </c>
      <c r="L149" s="15"/>
      <c r="M149" t="str">
        <f t="shared" si="14"/>
        <v/>
      </c>
      <c r="N149" t="str">
        <f t="shared" si="13"/>
        <v/>
      </c>
    </row>
    <row r="150" spans="1:14" ht="15" thickBot="1">
      <c r="A150" s="10">
        <v>46197</v>
      </c>
      <c r="B150" s="15" t="s">
        <v>94</v>
      </c>
      <c r="C150" s="19">
        <v>0.79</v>
      </c>
      <c r="D150" s="30">
        <v>561.26</v>
      </c>
      <c r="E150" s="15"/>
      <c r="F150" s="15"/>
      <c r="G150" s="33">
        <f>G149-D150</f>
        <v>4221286.040000001</v>
      </c>
      <c r="H150" s="203" t="s">
        <v>13</v>
      </c>
      <c r="I150" s="255" t="s">
        <v>116</v>
      </c>
      <c r="J150" s="297" t="s">
        <v>117</v>
      </c>
      <c r="K150" s="416"/>
      <c r="L150" s="416" t="s">
        <v>437</v>
      </c>
      <c r="M150" t="str">
        <f t="shared" si="14"/>
        <v/>
      </c>
      <c r="N150" t="str">
        <f t="shared" si="13"/>
        <v/>
      </c>
    </row>
    <row r="151" spans="1:14" ht="15" thickBot="1">
      <c r="A151" s="69">
        <v>46197</v>
      </c>
      <c r="B151" s="378" t="s">
        <v>124</v>
      </c>
      <c r="C151" s="72"/>
      <c r="D151" s="73"/>
      <c r="E151" s="70">
        <v>35.25</v>
      </c>
      <c r="F151" s="72">
        <v>24940.14</v>
      </c>
      <c r="G151" s="74">
        <f>G150+F151</f>
        <v>4246226.1800000006</v>
      </c>
      <c r="H151" s="75" t="s">
        <v>13</v>
      </c>
      <c r="I151" s="255" t="s">
        <v>127</v>
      </c>
      <c r="J151" s="517" t="s">
        <v>738</v>
      </c>
      <c r="K151" s="416" t="s">
        <v>127</v>
      </c>
      <c r="L151" s="15"/>
      <c r="M151" t="str">
        <f t="shared" si="14"/>
        <v/>
      </c>
      <c r="N151" t="str">
        <f t="shared" si="13"/>
        <v/>
      </c>
    </row>
    <row r="152" spans="1:14" ht="15" thickBot="1">
      <c r="A152" s="10">
        <v>46197</v>
      </c>
      <c r="B152" s="15" t="s">
        <v>94</v>
      </c>
      <c r="C152" s="19">
        <v>0.53</v>
      </c>
      <c r="D152" s="30">
        <v>374.1</v>
      </c>
      <c r="E152" s="15"/>
      <c r="F152" s="15"/>
      <c r="G152" s="33">
        <f>G151-D152</f>
        <v>4245852.080000001</v>
      </c>
      <c r="H152" s="203" t="s">
        <v>13</v>
      </c>
      <c r="I152" s="255" t="s">
        <v>116</v>
      </c>
      <c r="J152" s="297" t="s">
        <v>117</v>
      </c>
      <c r="K152" s="416"/>
      <c r="L152" s="416" t="s">
        <v>437</v>
      </c>
      <c r="M152" t="str">
        <f t="shared" si="14"/>
        <v/>
      </c>
      <c r="N152" t="str">
        <f t="shared" si="13"/>
        <v/>
      </c>
    </row>
    <row r="153" spans="1:14" ht="15" thickBot="1">
      <c r="A153" s="10">
        <v>46197</v>
      </c>
      <c r="B153" s="186" t="s">
        <v>126</v>
      </c>
      <c r="C153" s="19">
        <v>439.61</v>
      </c>
      <c r="D153" s="204">
        <v>311000</v>
      </c>
      <c r="E153" s="15"/>
      <c r="F153" s="15"/>
      <c r="G153" s="33">
        <f>G152-D153</f>
        <v>3934852.080000001</v>
      </c>
      <c r="H153" s="203" t="s">
        <v>10</v>
      </c>
      <c r="I153" s="255" t="s">
        <v>119</v>
      </c>
      <c r="J153" s="418" t="s">
        <v>447</v>
      </c>
      <c r="K153" s="416"/>
      <c r="L153" s="416" t="s">
        <v>437</v>
      </c>
      <c r="M153" t="str">
        <f t="shared" si="14"/>
        <v/>
      </c>
      <c r="N153" t="str">
        <f t="shared" si="13"/>
        <v/>
      </c>
    </row>
    <row r="154" spans="1:14" ht="15" thickBot="1">
      <c r="A154" s="10">
        <v>46197</v>
      </c>
      <c r="B154" s="186" t="s">
        <v>31</v>
      </c>
      <c r="C154" s="19">
        <v>1.32</v>
      </c>
      <c r="D154" s="30">
        <v>933</v>
      </c>
      <c r="E154" s="15"/>
      <c r="F154" s="15"/>
      <c r="G154" s="33">
        <f>G153-D154</f>
        <v>3933919.080000001</v>
      </c>
      <c r="H154" s="203" t="s">
        <v>25</v>
      </c>
      <c r="I154" s="416" t="s">
        <v>116</v>
      </c>
      <c r="J154" s="15" t="s">
        <v>117</v>
      </c>
      <c r="K154" s="416"/>
      <c r="L154" s="416" t="s">
        <v>437</v>
      </c>
      <c r="M154" t="str">
        <f t="shared" si="14"/>
        <v/>
      </c>
      <c r="N154" t="str">
        <f t="shared" si="13"/>
        <v/>
      </c>
    </row>
    <row r="155" spans="1:14" ht="15" thickBot="1">
      <c r="A155" s="10">
        <v>46197</v>
      </c>
      <c r="B155" s="15" t="s">
        <v>133</v>
      </c>
      <c r="C155" s="19">
        <v>163.06</v>
      </c>
      <c r="D155" s="30">
        <v>115355.97</v>
      </c>
      <c r="E155" s="15"/>
      <c r="F155" s="15"/>
      <c r="G155" s="33">
        <f>G154-D155</f>
        <v>3818563.1100000008</v>
      </c>
      <c r="H155" s="8" t="s">
        <v>13</v>
      </c>
      <c r="I155" s="255" t="s">
        <v>119</v>
      </c>
      <c r="J155" s="297" t="s">
        <v>118</v>
      </c>
      <c r="K155" s="416"/>
      <c r="L155" s="416" t="s">
        <v>437</v>
      </c>
      <c r="M155" t="str">
        <f t="shared" si="14"/>
        <v/>
      </c>
      <c r="N155" t="str">
        <f t="shared" si="13"/>
        <v/>
      </c>
    </row>
    <row r="156" spans="1:14" ht="15" thickBot="1">
      <c r="A156" s="10">
        <v>46197</v>
      </c>
      <c r="B156" s="15" t="s">
        <v>134</v>
      </c>
      <c r="C156" s="19">
        <v>1.28</v>
      </c>
      <c r="D156" s="30">
        <v>907.42</v>
      </c>
      <c r="E156" s="15"/>
      <c r="F156" s="15"/>
      <c r="G156" s="33">
        <f>G155-D156</f>
        <v>3817655.6900000009</v>
      </c>
      <c r="H156" s="8" t="s">
        <v>13</v>
      </c>
      <c r="I156" s="255" t="s">
        <v>119</v>
      </c>
      <c r="J156" s="297" t="s">
        <v>118</v>
      </c>
      <c r="K156" s="416"/>
      <c r="L156" s="416" t="s">
        <v>437</v>
      </c>
      <c r="M156" t="str">
        <f t="shared" si="14"/>
        <v/>
      </c>
      <c r="N156" t="str">
        <f t="shared" si="13"/>
        <v/>
      </c>
    </row>
    <row r="157" spans="1:14" ht="15" thickBot="1">
      <c r="A157" s="69">
        <v>46198</v>
      </c>
      <c r="B157" s="378" t="s">
        <v>136</v>
      </c>
      <c r="C157" s="72"/>
      <c r="D157" s="73"/>
      <c r="E157" s="72">
        <v>14.7</v>
      </c>
      <c r="F157" s="72">
        <v>10397.51</v>
      </c>
      <c r="G157" s="74">
        <f>G156+F157</f>
        <v>3828053.2000000007</v>
      </c>
      <c r="H157" s="75" t="s">
        <v>13</v>
      </c>
      <c r="I157" s="255" t="s">
        <v>127</v>
      </c>
      <c r="J157" s="517" t="s">
        <v>738</v>
      </c>
      <c r="K157" s="416"/>
      <c r="L157" s="416" t="s">
        <v>437</v>
      </c>
      <c r="M157" t="str">
        <f t="shared" si="14"/>
        <v/>
      </c>
      <c r="N157" t="str">
        <f t="shared" si="13"/>
        <v/>
      </c>
    </row>
    <row r="158" spans="1:14" ht="15" thickBot="1">
      <c r="A158" s="10">
        <v>46199</v>
      </c>
      <c r="B158" s="207" t="s">
        <v>94</v>
      </c>
      <c r="C158" s="19">
        <v>0.22</v>
      </c>
      <c r="D158" s="30">
        <v>155.96</v>
      </c>
      <c r="E158" s="15"/>
      <c r="F158" s="15"/>
      <c r="G158" s="33">
        <f>G157-D158</f>
        <v>3827897.2400000007</v>
      </c>
      <c r="H158" s="208" t="s">
        <v>13</v>
      </c>
      <c r="I158" s="255" t="s">
        <v>116</v>
      </c>
      <c r="J158" s="297" t="s">
        <v>117</v>
      </c>
      <c r="K158" s="416"/>
      <c r="L158" s="416" t="s">
        <v>437</v>
      </c>
      <c r="M158" t="str">
        <f t="shared" si="14"/>
        <v/>
      </c>
      <c r="N158" t="str">
        <f t="shared" si="13"/>
        <v/>
      </c>
    </row>
    <row r="159" spans="1:14" ht="15" thickBot="1">
      <c r="A159" s="69">
        <v>46198</v>
      </c>
      <c r="B159" s="378" t="s">
        <v>135</v>
      </c>
      <c r="C159" s="72"/>
      <c r="D159" s="73"/>
      <c r="E159" s="70">
        <v>47.03</v>
      </c>
      <c r="F159" s="72">
        <v>33272.400000000001</v>
      </c>
      <c r="G159" s="74">
        <f>G158+F159</f>
        <v>3861169.6400000006</v>
      </c>
      <c r="H159" s="75" t="s">
        <v>13</v>
      </c>
      <c r="I159" s="255" t="s">
        <v>127</v>
      </c>
      <c r="J159" s="517" t="s">
        <v>738</v>
      </c>
      <c r="K159" s="416"/>
      <c r="L159" s="416" t="s">
        <v>437</v>
      </c>
      <c r="M159" t="str">
        <f t="shared" si="14"/>
        <v/>
      </c>
      <c r="N159" t="str">
        <f t="shared" si="13"/>
        <v/>
      </c>
    </row>
    <row r="160" spans="1:14" ht="15" thickBot="1">
      <c r="A160" s="10">
        <v>46198</v>
      </c>
      <c r="B160" s="207" t="s">
        <v>94</v>
      </c>
      <c r="C160" s="19">
        <v>0.71</v>
      </c>
      <c r="D160" s="30">
        <v>499.08</v>
      </c>
      <c r="E160" s="15"/>
      <c r="F160" s="15"/>
      <c r="G160" s="33">
        <f t="shared" ref="G160:G165" si="15">G159-D160</f>
        <v>3860670.5600000005</v>
      </c>
      <c r="H160" s="208" t="s">
        <v>13</v>
      </c>
      <c r="I160" s="255" t="s">
        <v>116</v>
      </c>
      <c r="J160" s="297" t="s">
        <v>117</v>
      </c>
      <c r="K160" s="416"/>
      <c r="L160" s="416" t="s">
        <v>437</v>
      </c>
      <c r="M160" t="str">
        <f t="shared" si="14"/>
        <v/>
      </c>
      <c r="N160" t="str">
        <f t="shared" si="13"/>
        <v/>
      </c>
    </row>
    <row r="161" spans="1:14" ht="15" thickBot="1">
      <c r="A161" s="10">
        <v>46198</v>
      </c>
      <c r="B161" s="207" t="s">
        <v>137</v>
      </c>
      <c r="C161" s="19">
        <v>439.61</v>
      </c>
      <c r="D161" s="30">
        <v>311000</v>
      </c>
      <c r="E161" s="15"/>
      <c r="F161" s="15"/>
      <c r="G161" s="33">
        <f t="shared" si="15"/>
        <v>3549670.5600000005</v>
      </c>
      <c r="H161" s="8" t="s">
        <v>10</v>
      </c>
      <c r="I161" s="255" t="s">
        <v>119</v>
      </c>
      <c r="J161" s="418" t="s">
        <v>447</v>
      </c>
      <c r="K161" s="416"/>
      <c r="L161" s="416" t="s">
        <v>437</v>
      </c>
      <c r="M161" t="str">
        <f t="shared" si="14"/>
        <v/>
      </c>
      <c r="N161" t="str">
        <f t="shared" si="13"/>
        <v/>
      </c>
    </row>
    <row r="162" spans="1:14" ht="15" thickBot="1">
      <c r="A162" s="10">
        <v>46198</v>
      </c>
      <c r="B162" s="259" t="s">
        <v>165</v>
      </c>
      <c r="C162" s="19">
        <v>135</v>
      </c>
      <c r="D162" s="30">
        <v>95504.1</v>
      </c>
      <c r="E162" s="15"/>
      <c r="F162" s="15"/>
      <c r="G162" s="33">
        <f t="shared" si="15"/>
        <v>3454166.4600000004</v>
      </c>
      <c r="H162" s="8" t="s">
        <v>10</v>
      </c>
      <c r="I162" s="255" t="s">
        <v>119</v>
      </c>
      <c r="J162" s="418" t="s">
        <v>443</v>
      </c>
      <c r="K162" s="416"/>
      <c r="L162" s="416" t="s">
        <v>437</v>
      </c>
      <c r="M162" t="str">
        <f t="shared" si="14"/>
        <v/>
      </c>
      <c r="N162" t="str">
        <f t="shared" si="13"/>
        <v/>
      </c>
    </row>
    <row r="163" spans="1:14" ht="15" thickBot="1">
      <c r="A163" s="10">
        <v>46198</v>
      </c>
      <c r="B163" s="15" t="s">
        <v>31</v>
      </c>
      <c r="C163" s="19">
        <v>0.4</v>
      </c>
      <c r="D163" s="30">
        <v>286.51</v>
      </c>
      <c r="E163" s="15"/>
      <c r="F163" s="15"/>
      <c r="G163" s="33">
        <f t="shared" si="15"/>
        <v>3453879.9500000007</v>
      </c>
      <c r="H163" s="8" t="s">
        <v>25</v>
      </c>
      <c r="I163" s="416" t="s">
        <v>116</v>
      </c>
      <c r="J163" s="15" t="s">
        <v>117</v>
      </c>
      <c r="K163" s="416"/>
      <c r="L163" s="416" t="s">
        <v>437</v>
      </c>
      <c r="M163" t="str">
        <f t="shared" si="14"/>
        <v/>
      </c>
      <c r="N163" t="str">
        <f t="shared" si="13"/>
        <v/>
      </c>
    </row>
    <row r="164" spans="1:14" ht="15" thickBot="1">
      <c r="A164" s="10">
        <v>46198</v>
      </c>
      <c r="B164" s="259" t="s">
        <v>166</v>
      </c>
      <c r="C164" s="19">
        <v>131.79</v>
      </c>
      <c r="D164" s="30">
        <v>93230</v>
      </c>
      <c r="E164" s="15"/>
      <c r="F164" s="15"/>
      <c r="G164" s="33">
        <f t="shared" si="15"/>
        <v>3360649.9500000007</v>
      </c>
      <c r="H164" s="8" t="s">
        <v>10</v>
      </c>
      <c r="I164" s="255" t="s">
        <v>119</v>
      </c>
      <c r="J164" s="418" t="s">
        <v>443</v>
      </c>
      <c r="K164" s="416"/>
      <c r="L164" s="416" t="s">
        <v>437</v>
      </c>
      <c r="M164" t="str">
        <f t="shared" si="14"/>
        <v/>
      </c>
      <c r="N164" t="str">
        <f t="shared" si="13"/>
        <v/>
      </c>
    </row>
    <row r="165" spans="1:14" ht="15" thickBot="1">
      <c r="A165" s="10">
        <v>46198</v>
      </c>
      <c r="B165" s="15" t="s">
        <v>31</v>
      </c>
      <c r="C165" s="19">
        <v>0.4</v>
      </c>
      <c r="D165" s="30">
        <v>279.69</v>
      </c>
      <c r="E165" s="15"/>
      <c r="F165" s="15"/>
      <c r="G165" s="33">
        <f t="shared" si="15"/>
        <v>3360370.2600000007</v>
      </c>
      <c r="H165" s="8" t="s">
        <v>25</v>
      </c>
      <c r="I165" s="416" t="s">
        <v>116</v>
      </c>
      <c r="J165" s="15" t="s">
        <v>117</v>
      </c>
      <c r="K165" s="416"/>
      <c r="L165" s="416" t="s">
        <v>437</v>
      </c>
      <c r="M165" t="str">
        <f t="shared" si="14"/>
        <v/>
      </c>
      <c r="N165" t="str">
        <f t="shared" si="13"/>
        <v/>
      </c>
    </row>
    <row r="166" spans="1:14" ht="15" thickBot="1">
      <c r="A166" s="69">
        <v>46199</v>
      </c>
      <c r="B166" s="70" t="s">
        <v>141</v>
      </c>
      <c r="C166" s="71"/>
      <c r="D166" s="70"/>
      <c r="E166" s="72">
        <v>5.87</v>
      </c>
      <c r="F166" s="73">
        <v>4157.82</v>
      </c>
      <c r="G166" s="74">
        <f>G165+F166</f>
        <v>3364528.0800000005</v>
      </c>
      <c r="H166" s="75" t="s">
        <v>13</v>
      </c>
      <c r="I166" s="255" t="s">
        <v>127</v>
      </c>
      <c r="J166" s="517" t="s">
        <v>739</v>
      </c>
      <c r="K166" s="416" t="s">
        <v>127</v>
      </c>
      <c r="L166" s="15"/>
      <c r="M166" t="str">
        <f t="shared" si="14"/>
        <v/>
      </c>
      <c r="N166" t="str">
        <f t="shared" si="13"/>
        <v/>
      </c>
    </row>
    <row r="167" spans="1:14" ht="15" thickBot="1">
      <c r="A167" s="10">
        <v>46199</v>
      </c>
      <c r="B167" s="218" t="s">
        <v>94</v>
      </c>
      <c r="C167" s="19">
        <v>0.09</v>
      </c>
      <c r="D167" s="30">
        <v>62.36</v>
      </c>
      <c r="E167" s="15"/>
      <c r="F167" s="15"/>
      <c r="G167" s="33">
        <f>G166-D167</f>
        <v>3364465.7200000007</v>
      </c>
      <c r="H167" s="219" t="s">
        <v>13</v>
      </c>
      <c r="I167" s="255" t="s">
        <v>116</v>
      </c>
      <c r="J167" s="297" t="s">
        <v>117</v>
      </c>
      <c r="K167" s="15"/>
      <c r="L167" s="416" t="s">
        <v>437</v>
      </c>
      <c r="M167" t="str">
        <f t="shared" si="14"/>
        <v/>
      </c>
      <c r="N167" t="str">
        <f t="shared" si="13"/>
        <v/>
      </c>
    </row>
    <row r="168" spans="1:14" ht="15" thickBot="1">
      <c r="A168" s="10">
        <v>46199</v>
      </c>
      <c r="B168" s="218" t="s">
        <v>140</v>
      </c>
      <c r="C168" s="19">
        <v>15.35</v>
      </c>
      <c r="D168" s="30">
        <v>10875</v>
      </c>
      <c r="E168" s="15"/>
      <c r="F168" s="15"/>
      <c r="G168" s="33">
        <f>G167-D168</f>
        <v>3353590.7200000007</v>
      </c>
      <c r="H168" s="219" t="s">
        <v>10</v>
      </c>
      <c r="I168" s="255" t="s">
        <v>116</v>
      </c>
      <c r="J168" s="297" t="s">
        <v>269</v>
      </c>
      <c r="K168" s="15"/>
      <c r="L168" s="416" t="s">
        <v>437</v>
      </c>
      <c r="M168" t="str">
        <f t="shared" si="14"/>
        <v/>
      </c>
      <c r="N168" t="str">
        <f t="shared" si="13"/>
        <v/>
      </c>
    </row>
    <row r="169" spans="1:14" ht="15" thickBot="1">
      <c r="A169" s="10">
        <v>46199</v>
      </c>
      <c r="B169" s="218" t="s">
        <v>31</v>
      </c>
      <c r="C169" s="19">
        <v>0.05</v>
      </c>
      <c r="D169" s="30">
        <v>32.619999999999997</v>
      </c>
      <c r="E169" s="15"/>
      <c r="F169" s="15"/>
      <c r="G169" s="33">
        <f>G168-D169</f>
        <v>3353558.1000000006</v>
      </c>
      <c r="H169" s="219" t="s">
        <v>25</v>
      </c>
      <c r="I169" s="255" t="s">
        <v>116</v>
      </c>
      <c r="J169" s="297" t="s">
        <v>117</v>
      </c>
      <c r="K169" s="15"/>
      <c r="L169" s="416" t="s">
        <v>437</v>
      </c>
      <c r="M169" t="str">
        <f t="shared" si="14"/>
        <v/>
      </c>
      <c r="N169" t="str">
        <f t="shared" si="13"/>
        <v/>
      </c>
    </row>
    <row r="170" spans="1:14" ht="15" thickBot="1">
      <c r="A170" s="10">
        <v>46199</v>
      </c>
      <c r="B170" s="15" t="s">
        <v>142</v>
      </c>
      <c r="C170" s="19">
        <v>87.83</v>
      </c>
      <c r="D170" s="30">
        <v>62221.35</v>
      </c>
      <c r="E170" s="15"/>
      <c r="F170" s="15"/>
      <c r="G170" s="33">
        <f>G169-D170</f>
        <v>3291336.7500000005</v>
      </c>
      <c r="H170" s="8" t="s">
        <v>143</v>
      </c>
      <c r="I170" s="255" t="s">
        <v>119</v>
      </c>
      <c r="J170" s="418" t="s">
        <v>446</v>
      </c>
      <c r="K170" s="15"/>
      <c r="L170" s="416" t="s">
        <v>437</v>
      </c>
      <c r="M170" t="str">
        <f t="shared" si="14"/>
        <v/>
      </c>
      <c r="N170" t="str">
        <f t="shared" si="13"/>
        <v/>
      </c>
    </row>
    <row r="171" spans="1:14" ht="15" thickBot="1">
      <c r="A171" s="10">
        <v>46199</v>
      </c>
      <c r="B171" s="15" t="s">
        <v>31</v>
      </c>
      <c r="C171" s="19">
        <v>0.26</v>
      </c>
      <c r="D171" s="30">
        <v>186.66</v>
      </c>
      <c r="E171" s="15"/>
      <c r="F171" s="15"/>
      <c r="G171" s="33">
        <f>G170-D171</f>
        <v>3291150.0900000003</v>
      </c>
      <c r="H171" s="8" t="s">
        <v>25</v>
      </c>
      <c r="I171" s="416" t="s">
        <v>116</v>
      </c>
      <c r="J171" s="15" t="s">
        <v>117</v>
      </c>
      <c r="K171" s="15"/>
      <c r="L171" s="416" t="s">
        <v>437</v>
      </c>
      <c r="M171" t="str">
        <f t="shared" si="14"/>
        <v/>
      </c>
      <c r="N171" t="str">
        <f t="shared" si="13"/>
        <v/>
      </c>
    </row>
    <row r="172" spans="1:14" ht="15" thickBot="1">
      <c r="A172" s="69">
        <v>46200</v>
      </c>
      <c r="B172" s="70" t="s">
        <v>167</v>
      </c>
      <c r="C172" s="72"/>
      <c r="D172" s="73"/>
      <c r="E172" s="70">
        <v>5.72</v>
      </c>
      <c r="F172" s="72">
        <v>4165.34</v>
      </c>
      <c r="G172" s="74">
        <f>G171+F172</f>
        <v>3295315.43</v>
      </c>
      <c r="H172" s="75" t="s">
        <v>13</v>
      </c>
      <c r="I172" s="255" t="s">
        <v>127</v>
      </c>
      <c r="J172" s="517" t="s">
        <v>738</v>
      </c>
      <c r="K172" s="416" t="s">
        <v>127</v>
      </c>
      <c r="L172" s="15"/>
      <c r="M172" t="str">
        <f t="shared" si="14"/>
        <v/>
      </c>
      <c r="N172" t="str">
        <f t="shared" si="13"/>
        <v/>
      </c>
    </row>
    <row r="173" spans="1:14" ht="15" thickBot="1">
      <c r="A173" s="10">
        <v>46200</v>
      </c>
      <c r="B173" s="220" t="s">
        <v>94</v>
      </c>
      <c r="C173" s="19">
        <v>0.09</v>
      </c>
      <c r="D173" s="30">
        <v>62.48</v>
      </c>
      <c r="E173" s="15"/>
      <c r="F173" s="15"/>
      <c r="G173" s="33">
        <f>G172-D173</f>
        <v>3295252.95</v>
      </c>
      <c r="H173" s="221" t="s">
        <v>13</v>
      </c>
      <c r="I173" s="255" t="s">
        <v>116</v>
      </c>
      <c r="J173" s="297" t="s">
        <v>117</v>
      </c>
      <c r="K173" s="15"/>
      <c r="L173" s="416" t="s">
        <v>437</v>
      </c>
      <c r="M173" t="str">
        <f t="shared" si="14"/>
        <v/>
      </c>
      <c r="N173" t="str">
        <f t="shared" si="13"/>
        <v/>
      </c>
    </row>
    <row r="174" spans="1:14" ht="15" thickBot="1">
      <c r="A174" s="69">
        <v>46200</v>
      </c>
      <c r="B174" s="70" t="s">
        <v>144</v>
      </c>
      <c r="C174" s="72"/>
      <c r="D174" s="73"/>
      <c r="E174" s="70">
        <v>17.59</v>
      </c>
      <c r="F174" s="72">
        <v>12493.06</v>
      </c>
      <c r="G174" s="74">
        <f>G173+F174</f>
        <v>3307746.0100000002</v>
      </c>
      <c r="H174" s="75" t="s">
        <v>13</v>
      </c>
      <c r="I174" s="255" t="s">
        <v>127</v>
      </c>
      <c r="J174" s="517" t="s">
        <v>738</v>
      </c>
      <c r="K174" s="416" t="s">
        <v>127</v>
      </c>
      <c r="L174" s="15"/>
      <c r="M174" t="str">
        <f t="shared" si="14"/>
        <v/>
      </c>
      <c r="N174" t="str">
        <f t="shared" si="13"/>
        <v/>
      </c>
    </row>
    <row r="175" spans="1:14" ht="15" thickBot="1">
      <c r="A175" s="10">
        <v>46200</v>
      </c>
      <c r="B175" s="220" t="s">
        <v>94</v>
      </c>
      <c r="C175" s="19">
        <v>0.26</v>
      </c>
      <c r="D175" s="30">
        <v>187.39</v>
      </c>
      <c r="E175" s="15"/>
      <c r="F175" s="15"/>
      <c r="G175" s="33">
        <f>G174-D175</f>
        <v>3307558.62</v>
      </c>
      <c r="H175" s="221" t="s">
        <v>13</v>
      </c>
      <c r="I175" s="255" t="s">
        <v>116</v>
      </c>
      <c r="J175" s="297" t="s">
        <v>117</v>
      </c>
      <c r="K175" s="15"/>
      <c r="L175" s="416" t="s">
        <v>437</v>
      </c>
      <c r="M175" t="str">
        <f t="shared" si="14"/>
        <v/>
      </c>
      <c r="N175" t="str">
        <f t="shared" si="13"/>
        <v/>
      </c>
    </row>
    <row r="176" spans="1:14" ht="15" thickBot="1">
      <c r="A176" s="69">
        <v>46201</v>
      </c>
      <c r="B176" s="70" t="s">
        <v>146</v>
      </c>
      <c r="C176" s="72"/>
      <c r="D176" s="73"/>
      <c r="E176" s="70">
        <v>5.7</v>
      </c>
      <c r="F176" s="72">
        <v>4044.46</v>
      </c>
      <c r="G176" s="74">
        <f>G175+F176</f>
        <v>3311603.08</v>
      </c>
      <c r="H176" s="75" t="s">
        <v>13</v>
      </c>
      <c r="I176" s="255" t="s">
        <v>127</v>
      </c>
      <c r="J176" s="517" t="s">
        <v>738</v>
      </c>
      <c r="K176" s="416" t="s">
        <v>127</v>
      </c>
      <c r="L176" s="15"/>
      <c r="M176" t="str">
        <f t="shared" si="14"/>
        <v/>
      </c>
      <c r="N176" t="str">
        <f t="shared" si="13"/>
        <v/>
      </c>
    </row>
    <row r="177" spans="1:14" ht="15" thickBot="1">
      <c r="A177" s="222" t="s">
        <v>147</v>
      </c>
      <c r="B177" s="220" t="s">
        <v>94</v>
      </c>
      <c r="C177" s="19">
        <v>0.09</v>
      </c>
      <c r="D177" s="30">
        <v>60.66</v>
      </c>
      <c r="E177" s="15"/>
      <c r="F177" s="15"/>
      <c r="G177" s="33">
        <f>G176-D177</f>
        <v>3311542.42</v>
      </c>
      <c r="H177" s="221" t="s">
        <v>13</v>
      </c>
      <c r="I177" s="255" t="s">
        <v>116</v>
      </c>
      <c r="J177" s="297" t="s">
        <v>117</v>
      </c>
      <c r="K177" s="15"/>
      <c r="L177" s="416" t="s">
        <v>437</v>
      </c>
      <c r="M177" t="str">
        <f t="shared" si="14"/>
        <v/>
      </c>
      <c r="N177" t="str">
        <f t="shared" si="13"/>
        <v/>
      </c>
    </row>
    <row r="178" spans="1:14" ht="15" thickBot="1">
      <c r="A178" s="69">
        <v>46201</v>
      </c>
      <c r="B178" s="70" t="s">
        <v>145</v>
      </c>
      <c r="C178" s="72"/>
      <c r="D178" s="73"/>
      <c r="E178" s="70">
        <v>17.61</v>
      </c>
      <c r="F178" s="72">
        <v>12506.51</v>
      </c>
      <c r="G178" s="74">
        <f>G177+F178</f>
        <v>3324048.9299999997</v>
      </c>
      <c r="H178" s="75" t="s">
        <v>13</v>
      </c>
      <c r="I178" s="255" t="s">
        <v>127</v>
      </c>
      <c r="J178" s="517" t="s">
        <v>738</v>
      </c>
      <c r="K178" s="416" t="s">
        <v>127</v>
      </c>
      <c r="L178" s="15"/>
      <c r="M178" t="str">
        <f t="shared" si="14"/>
        <v/>
      </c>
      <c r="N178" t="str">
        <f t="shared" si="13"/>
        <v/>
      </c>
    </row>
    <row r="179" spans="1:14" ht="15" thickBot="1">
      <c r="A179" s="10">
        <v>46201</v>
      </c>
      <c r="B179" s="220" t="s">
        <v>94</v>
      </c>
      <c r="C179" s="19">
        <v>0.26</v>
      </c>
      <c r="D179" s="30">
        <v>187.59</v>
      </c>
      <c r="E179" s="15"/>
      <c r="F179" s="15"/>
      <c r="G179" s="33">
        <f>G178-D179</f>
        <v>3323861.34</v>
      </c>
      <c r="H179" s="221" t="s">
        <v>13</v>
      </c>
      <c r="I179" s="255" t="s">
        <v>116</v>
      </c>
      <c r="J179" s="297" t="s">
        <v>117</v>
      </c>
      <c r="K179" s="15"/>
      <c r="L179" s="416" t="s">
        <v>437</v>
      </c>
      <c r="M179" t="str">
        <f t="shared" si="14"/>
        <v/>
      </c>
      <c r="N179" t="str">
        <f t="shared" si="13"/>
        <v/>
      </c>
    </row>
    <row r="180" spans="1:14" ht="15" thickBot="1">
      <c r="A180" s="69">
        <v>46202</v>
      </c>
      <c r="B180" s="70" t="s">
        <v>148</v>
      </c>
      <c r="C180" s="72"/>
      <c r="D180" s="73"/>
      <c r="E180" s="70">
        <v>5.88</v>
      </c>
      <c r="F180" s="72">
        <v>4174.8</v>
      </c>
      <c r="G180" s="74">
        <f>G179+F180</f>
        <v>3328036.1399999997</v>
      </c>
      <c r="H180" s="75" t="s">
        <v>13</v>
      </c>
      <c r="I180" s="255" t="s">
        <v>127</v>
      </c>
      <c r="J180" s="517" t="s">
        <v>738</v>
      </c>
      <c r="K180" s="416" t="s">
        <v>127</v>
      </c>
      <c r="L180" s="15"/>
      <c r="M180" t="str">
        <f t="shared" si="14"/>
        <v/>
      </c>
      <c r="N180" t="str">
        <f t="shared" si="13"/>
        <v/>
      </c>
    </row>
    <row r="181" spans="1:14" ht="15" thickBot="1">
      <c r="A181" s="10">
        <v>46202</v>
      </c>
      <c r="B181" s="220" t="s">
        <v>94</v>
      </c>
      <c r="C181" s="19">
        <v>0.09</v>
      </c>
      <c r="D181" s="30">
        <v>62.62</v>
      </c>
      <c r="E181" s="15"/>
      <c r="F181" s="15"/>
      <c r="G181" s="33">
        <f t="shared" ref="G181:G186" si="16">G180-D181</f>
        <v>3327973.5199999996</v>
      </c>
      <c r="H181" s="221" t="s">
        <v>13</v>
      </c>
      <c r="I181" s="255" t="s">
        <v>116</v>
      </c>
      <c r="J181" s="297" t="s">
        <v>117</v>
      </c>
      <c r="K181" s="15"/>
      <c r="L181" s="416" t="s">
        <v>437</v>
      </c>
      <c r="M181" t="str">
        <f t="shared" si="14"/>
        <v/>
      </c>
      <c r="N181" t="str">
        <f t="shared" si="13"/>
        <v/>
      </c>
    </row>
    <row r="182" spans="1:14" ht="15" thickBot="1">
      <c r="A182" s="10">
        <v>46202</v>
      </c>
      <c r="B182" s="220" t="s">
        <v>149</v>
      </c>
      <c r="C182" s="19">
        <v>1.75</v>
      </c>
      <c r="D182" s="30">
        <v>1246</v>
      </c>
      <c r="E182" s="15"/>
      <c r="F182" s="15"/>
      <c r="G182" s="33">
        <f t="shared" si="16"/>
        <v>3326727.5199999996</v>
      </c>
      <c r="H182" s="221" t="s">
        <v>13</v>
      </c>
      <c r="I182" s="255" t="s">
        <v>116</v>
      </c>
      <c r="J182" s="297" t="s">
        <v>269</v>
      </c>
      <c r="K182" s="15"/>
      <c r="L182" s="416" t="s">
        <v>437</v>
      </c>
      <c r="M182" t="str">
        <f t="shared" si="14"/>
        <v/>
      </c>
      <c r="N182" t="str">
        <f t="shared" si="13"/>
        <v/>
      </c>
    </row>
    <row r="183" spans="1:14" ht="15" thickBot="1">
      <c r="A183" s="10">
        <v>46202</v>
      </c>
      <c r="B183" s="220" t="s">
        <v>150</v>
      </c>
      <c r="C183" s="19">
        <v>20.329999999999998</v>
      </c>
      <c r="D183" s="30">
        <v>14435.27</v>
      </c>
      <c r="E183" s="15"/>
      <c r="F183" s="15"/>
      <c r="G183" s="33">
        <f t="shared" si="16"/>
        <v>3312292.2499999995</v>
      </c>
      <c r="H183" s="221" t="s">
        <v>10</v>
      </c>
      <c r="I183" s="255" t="s">
        <v>119</v>
      </c>
      <c r="J183" s="297" t="s">
        <v>118</v>
      </c>
      <c r="K183" s="15"/>
      <c r="L183" s="416" t="s">
        <v>437</v>
      </c>
      <c r="M183" t="str">
        <f t="shared" si="14"/>
        <v/>
      </c>
      <c r="N183" t="str">
        <f t="shared" si="13"/>
        <v/>
      </c>
    </row>
    <row r="184" spans="1:14" ht="15" thickBot="1">
      <c r="A184" s="10">
        <v>46202</v>
      </c>
      <c r="B184" s="220" t="s">
        <v>31</v>
      </c>
      <c r="C184" s="19">
        <v>0.06</v>
      </c>
      <c r="D184" s="30">
        <v>43.3</v>
      </c>
      <c r="E184" s="15"/>
      <c r="F184" s="15"/>
      <c r="G184" s="33">
        <f t="shared" si="16"/>
        <v>3312248.9499999997</v>
      </c>
      <c r="H184" s="221" t="s">
        <v>25</v>
      </c>
      <c r="I184" s="255" t="s">
        <v>119</v>
      </c>
      <c r="J184" s="297" t="s">
        <v>118</v>
      </c>
      <c r="K184" s="15"/>
      <c r="L184" s="416" t="s">
        <v>437</v>
      </c>
      <c r="M184" t="str">
        <f t="shared" si="14"/>
        <v/>
      </c>
      <c r="N184" t="str">
        <f t="shared" si="13"/>
        <v/>
      </c>
    </row>
    <row r="185" spans="1:14" ht="15" thickBot="1">
      <c r="A185" s="10">
        <v>46202</v>
      </c>
      <c r="B185" s="15" t="s">
        <v>151</v>
      </c>
      <c r="C185" s="19">
        <v>28.47</v>
      </c>
      <c r="D185" s="30">
        <v>20216.560000000001</v>
      </c>
      <c r="E185" s="15"/>
      <c r="F185" s="15"/>
      <c r="G185" s="33">
        <f t="shared" si="16"/>
        <v>3292032.3899999997</v>
      </c>
      <c r="H185" s="8" t="s">
        <v>10</v>
      </c>
      <c r="I185" s="255" t="s">
        <v>116</v>
      </c>
      <c r="J185" s="297" t="s">
        <v>269</v>
      </c>
      <c r="K185" s="15"/>
      <c r="L185" s="416" t="s">
        <v>437</v>
      </c>
      <c r="M185" t="str">
        <f t="shared" si="14"/>
        <v/>
      </c>
      <c r="N185" t="str">
        <f t="shared" si="13"/>
        <v/>
      </c>
    </row>
    <row r="186" spans="1:14" ht="15" thickBot="1">
      <c r="A186" s="10">
        <v>46202</v>
      </c>
      <c r="B186" s="15" t="s">
        <v>31</v>
      </c>
      <c r="C186" s="19">
        <v>0.09</v>
      </c>
      <c r="D186" s="30">
        <v>60.64</v>
      </c>
      <c r="E186" s="15"/>
      <c r="F186" s="15"/>
      <c r="G186" s="33">
        <f t="shared" si="16"/>
        <v>3291971.7499999995</v>
      </c>
      <c r="H186" s="223" t="s">
        <v>25</v>
      </c>
      <c r="I186" s="255" t="s">
        <v>116</v>
      </c>
      <c r="J186" s="297" t="s">
        <v>269</v>
      </c>
      <c r="K186" s="15"/>
      <c r="L186" s="416" t="s">
        <v>437</v>
      </c>
      <c r="M186" t="str">
        <f t="shared" si="14"/>
        <v/>
      </c>
      <c r="N186" t="str">
        <f t="shared" si="13"/>
        <v/>
      </c>
    </row>
    <row r="187" spans="1:14" ht="29.5" thickBot="1">
      <c r="A187" s="69">
        <v>46202</v>
      </c>
      <c r="B187" s="378" t="s">
        <v>152</v>
      </c>
      <c r="C187" s="72"/>
      <c r="D187" s="73"/>
      <c r="E187" s="72">
        <v>7.01</v>
      </c>
      <c r="F187" s="72">
        <v>49787.7</v>
      </c>
      <c r="G187" s="74">
        <f>G186+F187</f>
        <v>3341759.4499999997</v>
      </c>
      <c r="H187" s="75" t="s">
        <v>10</v>
      </c>
      <c r="I187" s="255" t="s">
        <v>127</v>
      </c>
      <c r="J187" s="517" t="s">
        <v>738</v>
      </c>
      <c r="K187" s="416" t="s">
        <v>127</v>
      </c>
      <c r="L187" s="15"/>
      <c r="M187" t="str">
        <f t="shared" si="14"/>
        <v/>
      </c>
      <c r="N187" t="str">
        <f t="shared" si="13"/>
        <v/>
      </c>
    </row>
    <row r="188" spans="1:14" ht="15" thickBot="1">
      <c r="A188" s="69">
        <v>46203</v>
      </c>
      <c r="B188" s="70" t="s">
        <v>153</v>
      </c>
      <c r="C188" s="72"/>
      <c r="D188" s="73"/>
      <c r="E188" s="72">
        <v>20.58</v>
      </c>
      <c r="F188" s="72">
        <v>14613.11</v>
      </c>
      <c r="G188" s="74">
        <f>G187+F188</f>
        <v>3356372.5599999996</v>
      </c>
      <c r="H188" s="75" t="s">
        <v>13</v>
      </c>
      <c r="I188" s="255" t="s">
        <v>127</v>
      </c>
      <c r="J188" s="517" t="s">
        <v>738</v>
      </c>
      <c r="K188" s="416" t="s">
        <v>127</v>
      </c>
      <c r="L188" s="15"/>
      <c r="M188" t="str">
        <f t="shared" si="14"/>
        <v/>
      </c>
      <c r="N188" t="str">
        <f t="shared" si="13"/>
        <v/>
      </c>
    </row>
    <row r="189" spans="1:14" ht="15" thickBot="1">
      <c r="A189" s="10">
        <v>46203</v>
      </c>
      <c r="B189" s="224" t="s">
        <v>94</v>
      </c>
      <c r="C189" s="19">
        <v>0.31</v>
      </c>
      <c r="D189" s="30">
        <v>219.19</v>
      </c>
      <c r="E189" s="15"/>
      <c r="F189" s="15"/>
      <c r="G189" s="33">
        <f>G188-D189</f>
        <v>3356153.3699999996</v>
      </c>
      <c r="H189" s="223" t="s">
        <v>13</v>
      </c>
      <c r="I189" s="255" t="s">
        <v>116</v>
      </c>
      <c r="J189" s="297" t="s">
        <v>117</v>
      </c>
      <c r="K189" s="15"/>
      <c r="L189" s="416" t="s">
        <v>437</v>
      </c>
      <c r="M189" t="str">
        <f t="shared" si="14"/>
        <v/>
      </c>
      <c r="N189" t="str">
        <f t="shared" si="13"/>
        <v/>
      </c>
    </row>
    <row r="190" spans="1:14" ht="15" thickBot="1">
      <c r="A190" s="69">
        <v>46203</v>
      </c>
      <c r="B190" s="70" t="s">
        <v>154</v>
      </c>
      <c r="C190" s="72"/>
      <c r="D190" s="73"/>
      <c r="E190" s="70">
        <v>11.76</v>
      </c>
      <c r="F190" s="72">
        <v>8350.68</v>
      </c>
      <c r="G190" s="74">
        <f>G189+F190</f>
        <v>3364504.05</v>
      </c>
      <c r="H190" s="75" t="s">
        <v>13</v>
      </c>
      <c r="I190" s="255" t="s">
        <v>127</v>
      </c>
      <c r="J190" s="517" t="s">
        <v>738</v>
      </c>
      <c r="K190" s="416" t="s">
        <v>127</v>
      </c>
      <c r="L190" s="15"/>
      <c r="M190" t="str">
        <f t="shared" si="14"/>
        <v/>
      </c>
      <c r="N190" t="str">
        <f t="shared" si="13"/>
        <v/>
      </c>
    </row>
    <row r="191" spans="1:14" ht="15" thickBot="1">
      <c r="A191" s="10">
        <v>46203</v>
      </c>
      <c r="B191" s="224" t="s">
        <v>94</v>
      </c>
      <c r="C191" s="19">
        <v>0.18</v>
      </c>
      <c r="D191" s="30">
        <v>125.26</v>
      </c>
      <c r="E191" s="15"/>
      <c r="F191" s="15"/>
      <c r="G191" s="33">
        <f t="shared" ref="G191:G204" si="17">G190-D191</f>
        <v>3364378.79</v>
      </c>
      <c r="H191" s="223" t="s">
        <v>13</v>
      </c>
      <c r="I191" s="255" t="s">
        <v>116</v>
      </c>
      <c r="J191" s="297" t="s">
        <v>117</v>
      </c>
      <c r="K191" s="15"/>
      <c r="L191" s="416" t="s">
        <v>437</v>
      </c>
      <c r="M191" t="str">
        <f t="shared" si="14"/>
        <v/>
      </c>
      <c r="N191" t="str">
        <f t="shared" si="13"/>
        <v/>
      </c>
    </row>
    <row r="192" spans="1:14" ht="15" thickBot="1">
      <c r="A192" s="10">
        <v>46203</v>
      </c>
      <c r="B192" s="224" t="s">
        <v>159</v>
      </c>
      <c r="C192" s="19">
        <v>1235.22</v>
      </c>
      <c r="D192" s="30">
        <v>877133.86</v>
      </c>
      <c r="E192" s="15"/>
      <c r="F192" s="15"/>
      <c r="G192" s="33">
        <f t="shared" si="17"/>
        <v>2487244.9300000002</v>
      </c>
      <c r="H192" s="223" t="s">
        <v>10</v>
      </c>
      <c r="I192" s="255" t="s">
        <v>119</v>
      </c>
      <c r="J192" s="297" t="s">
        <v>121</v>
      </c>
      <c r="K192" s="15"/>
      <c r="L192" s="416" t="s">
        <v>437</v>
      </c>
      <c r="M192" t="str">
        <f t="shared" si="14"/>
        <v/>
      </c>
      <c r="N192" t="str">
        <f t="shared" si="13"/>
        <v/>
      </c>
    </row>
    <row r="193" spans="1:14" ht="15" thickBot="1">
      <c r="A193" s="10">
        <v>46203</v>
      </c>
      <c r="B193" s="224" t="s">
        <v>31</v>
      </c>
      <c r="C193" s="19">
        <v>3.71</v>
      </c>
      <c r="D193" s="30">
        <v>2631.4</v>
      </c>
      <c r="E193" s="15"/>
      <c r="F193" s="15"/>
      <c r="G193" s="33">
        <f t="shared" si="17"/>
        <v>2484613.5300000003</v>
      </c>
      <c r="H193" s="223" t="s">
        <v>25</v>
      </c>
      <c r="I193" s="255" t="s">
        <v>119</v>
      </c>
      <c r="J193" s="297" t="s">
        <v>121</v>
      </c>
      <c r="K193" s="15"/>
      <c r="L193" s="416" t="s">
        <v>437</v>
      </c>
      <c r="M193" t="str">
        <f t="shared" si="14"/>
        <v/>
      </c>
      <c r="N193" t="str">
        <f t="shared" si="13"/>
        <v/>
      </c>
    </row>
    <row r="194" spans="1:14" ht="15" thickBot="1">
      <c r="A194" s="10">
        <v>46203</v>
      </c>
      <c r="B194" s="224" t="s">
        <v>160</v>
      </c>
      <c r="C194" s="19">
        <v>1235.22</v>
      </c>
      <c r="D194" s="30">
        <v>877133.86</v>
      </c>
      <c r="E194" s="15"/>
      <c r="F194" s="15"/>
      <c r="G194" s="33">
        <f t="shared" si="17"/>
        <v>1607479.6700000004</v>
      </c>
      <c r="H194" s="223" t="s">
        <v>10</v>
      </c>
      <c r="I194" s="255" t="s">
        <v>119</v>
      </c>
      <c r="J194" s="297" t="s">
        <v>121</v>
      </c>
      <c r="K194" s="15"/>
      <c r="L194" s="416" t="s">
        <v>437</v>
      </c>
      <c r="M194" t="str">
        <f t="shared" si="14"/>
        <v/>
      </c>
      <c r="N194" t="str">
        <f t="shared" si="13"/>
        <v/>
      </c>
    </row>
    <row r="195" spans="1:14" ht="15" thickBot="1">
      <c r="A195" s="10">
        <v>46203</v>
      </c>
      <c r="B195" s="224" t="s">
        <v>31</v>
      </c>
      <c r="C195" s="19">
        <v>3.71</v>
      </c>
      <c r="D195" s="30">
        <v>2631.4</v>
      </c>
      <c r="E195" s="15"/>
      <c r="F195" s="15"/>
      <c r="G195" s="33">
        <f t="shared" si="17"/>
        <v>1604848.2700000005</v>
      </c>
      <c r="H195" s="223" t="s">
        <v>25</v>
      </c>
      <c r="I195" s="255" t="s">
        <v>119</v>
      </c>
      <c r="J195" s="297" t="s">
        <v>121</v>
      </c>
      <c r="K195" s="15"/>
      <c r="L195" s="416" t="s">
        <v>437</v>
      </c>
      <c r="M195" t="str">
        <f t="shared" si="14"/>
        <v/>
      </c>
      <c r="N195" t="str">
        <f t="shared" si="13"/>
        <v/>
      </c>
    </row>
    <row r="196" spans="1:14" ht="15" thickBot="1">
      <c r="A196" s="10">
        <v>46203</v>
      </c>
      <c r="B196" s="224" t="s">
        <v>156</v>
      </c>
      <c r="C196" s="19">
        <v>2.4500000000000002</v>
      </c>
      <c r="D196" s="30">
        <v>1736.86</v>
      </c>
      <c r="E196" s="15"/>
      <c r="F196" s="15"/>
      <c r="G196" s="33">
        <f t="shared" si="17"/>
        <v>1603111.4100000004</v>
      </c>
      <c r="H196" s="223" t="s">
        <v>10</v>
      </c>
      <c r="I196" s="255" t="s">
        <v>266</v>
      </c>
      <c r="J196" s="297" t="s">
        <v>267</v>
      </c>
      <c r="K196" s="15"/>
      <c r="L196" s="416" t="s">
        <v>437</v>
      </c>
      <c r="M196" t="str">
        <f t="shared" si="14"/>
        <v/>
      </c>
      <c r="N196" t="str">
        <f t="shared" ref="N196:N259" si="18">IF(C196="","",IF(C196=D196,"OJOOO",""))</f>
        <v/>
      </c>
    </row>
    <row r="197" spans="1:14" ht="15" thickBot="1">
      <c r="A197" s="10">
        <v>46203</v>
      </c>
      <c r="B197" s="224" t="s">
        <v>155</v>
      </c>
      <c r="C197" s="19">
        <v>33.42</v>
      </c>
      <c r="D197" s="30">
        <v>23732.85</v>
      </c>
      <c r="E197" s="15"/>
      <c r="F197" s="15"/>
      <c r="G197" s="33">
        <f t="shared" si="17"/>
        <v>1579378.5600000003</v>
      </c>
      <c r="H197" s="223" t="s">
        <v>10</v>
      </c>
      <c r="I197" s="255" t="s">
        <v>266</v>
      </c>
      <c r="J197" s="297" t="s">
        <v>267</v>
      </c>
      <c r="K197" s="15"/>
      <c r="L197" s="416" t="s">
        <v>437</v>
      </c>
      <c r="M197" t="str">
        <f t="shared" si="14"/>
        <v/>
      </c>
      <c r="N197" t="str">
        <f t="shared" si="18"/>
        <v/>
      </c>
    </row>
    <row r="198" spans="1:14" ht="15" thickBot="1">
      <c r="A198" s="10">
        <v>46203</v>
      </c>
      <c r="B198" s="224" t="s">
        <v>157</v>
      </c>
      <c r="C198" s="19">
        <v>1430</v>
      </c>
      <c r="D198" s="30">
        <v>1015446.04</v>
      </c>
      <c r="E198" s="15"/>
      <c r="F198" s="15"/>
      <c r="G198" s="33">
        <f t="shared" si="17"/>
        <v>563932.52000000025</v>
      </c>
      <c r="H198" s="223" t="s">
        <v>10</v>
      </c>
      <c r="I198" s="255" t="s">
        <v>119</v>
      </c>
      <c r="J198" s="418" t="s">
        <v>446</v>
      </c>
      <c r="K198" s="15"/>
      <c r="L198" s="416" t="s">
        <v>437</v>
      </c>
      <c r="M198" t="str">
        <f t="shared" si="14"/>
        <v/>
      </c>
      <c r="N198" t="str">
        <f t="shared" si="18"/>
        <v/>
      </c>
    </row>
    <row r="199" spans="1:14" ht="15" thickBot="1">
      <c r="A199" s="10">
        <v>46203</v>
      </c>
      <c r="B199" s="224" t="s">
        <v>31</v>
      </c>
      <c r="C199" s="19">
        <v>4.29</v>
      </c>
      <c r="D199" s="204">
        <v>3046.33</v>
      </c>
      <c r="E199" s="15"/>
      <c r="F199" s="15"/>
      <c r="G199" s="33">
        <f t="shared" si="17"/>
        <v>560886.19000000029</v>
      </c>
      <c r="H199" s="223" t="s">
        <v>25</v>
      </c>
      <c r="I199" s="416" t="s">
        <v>116</v>
      </c>
      <c r="J199" s="15" t="s">
        <v>117</v>
      </c>
      <c r="K199" s="15"/>
      <c r="L199" s="416" t="s">
        <v>437</v>
      </c>
      <c r="M199" t="str">
        <f t="shared" si="14"/>
        <v/>
      </c>
      <c r="N199" t="str">
        <f t="shared" si="18"/>
        <v/>
      </c>
    </row>
    <row r="200" spans="1:14" ht="15" thickBot="1">
      <c r="A200" s="10">
        <v>46203</v>
      </c>
      <c r="B200" s="224" t="s">
        <v>158</v>
      </c>
      <c r="C200" s="19">
        <v>105.28</v>
      </c>
      <c r="D200" s="30">
        <v>74762.679999999993</v>
      </c>
      <c r="E200" s="15"/>
      <c r="F200" s="15"/>
      <c r="G200" s="33">
        <f t="shared" si="17"/>
        <v>486123.5100000003</v>
      </c>
      <c r="H200" s="223" t="s">
        <v>10</v>
      </c>
      <c r="I200" s="255" t="s">
        <v>119</v>
      </c>
      <c r="J200" s="297" t="s">
        <v>121</v>
      </c>
      <c r="K200" s="15"/>
      <c r="L200" s="416" t="s">
        <v>437</v>
      </c>
      <c r="M200" t="str">
        <f t="shared" si="14"/>
        <v/>
      </c>
      <c r="N200" t="str">
        <f t="shared" si="18"/>
        <v/>
      </c>
    </row>
    <row r="201" spans="1:14" ht="15" thickBot="1">
      <c r="A201" s="10">
        <v>46203</v>
      </c>
      <c r="B201" s="224" t="s">
        <v>31</v>
      </c>
      <c r="C201" s="19">
        <v>0.32</v>
      </c>
      <c r="D201" s="30">
        <v>224.28</v>
      </c>
      <c r="E201" s="15"/>
      <c r="F201" s="15"/>
      <c r="G201" s="20">
        <f t="shared" si="17"/>
        <v>485899.23000000027</v>
      </c>
      <c r="H201" s="223" t="s">
        <v>25</v>
      </c>
      <c r="I201" s="416" t="s">
        <v>116</v>
      </c>
      <c r="J201" s="15" t="s">
        <v>117</v>
      </c>
      <c r="K201" s="15"/>
      <c r="L201" s="416" t="s">
        <v>437</v>
      </c>
      <c r="M201" t="str">
        <f t="shared" si="14"/>
        <v/>
      </c>
      <c r="N201" t="str">
        <f t="shared" si="18"/>
        <v/>
      </c>
    </row>
    <row r="202" spans="1:14" ht="15" thickBot="1">
      <c r="A202" s="10">
        <v>46203</v>
      </c>
      <c r="B202" s="251" t="s">
        <v>72</v>
      </c>
      <c r="C202" s="19">
        <v>0</v>
      </c>
      <c r="D202" s="30">
        <v>0.1</v>
      </c>
      <c r="E202" s="15"/>
      <c r="F202" s="15"/>
      <c r="G202" s="20">
        <f t="shared" si="17"/>
        <v>485899.1300000003</v>
      </c>
      <c r="H202" s="249" t="s">
        <v>25</v>
      </c>
      <c r="I202" s="255" t="s">
        <v>116</v>
      </c>
      <c r="J202" s="297" t="s">
        <v>117</v>
      </c>
      <c r="K202" s="15"/>
      <c r="L202" s="416" t="s">
        <v>437</v>
      </c>
      <c r="M202" t="str">
        <f t="shared" si="14"/>
        <v/>
      </c>
      <c r="N202" t="str">
        <f t="shared" si="18"/>
        <v/>
      </c>
    </row>
    <row r="203" spans="1:14" ht="15" thickBot="1">
      <c r="A203" s="10">
        <v>46203</v>
      </c>
      <c r="B203" s="251" t="s">
        <v>161</v>
      </c>
      <c r="C203" s="19">
        <v>0</v>
      </c>
      <c r="D203" s="30">
        <v>8</v>
      </c>
      <c r="E203" s="15"/>
      <c r="F203" s="15"/>
      <c r="G203" s="20">
        <f t="shared" si="17"/>
        <v>485891.1300000003</v>
      </c>
      <c r="H203" s="249" t="s">
        <v>25</v>
      </c>
      <c r="I203" s="255" t="s">
        <v>116</v>
      </c>
      <c r="J203" s="297" t="s">
        <v>117</v>
      </c>
      <c r="K203" s="15"/>
      <c r="L203" s="416" t="s">
        <v>437</v>
      </c>
      <c r="M203" t="str">
        <f t="shared" si="14"/>
        <v/>
      </c>
      <c r="N203" t="str">
        <f t="shared" si="18"/>
        <v/>
      </c>
    </row>
    <row r="204" spans="1:14" ht="15" thickBot="1">
      <c r="A204" s="10">
        <v>46203</v>
      </c>
      <c r="B204" s="251" t="s">
        <v>162</v>
      </c>
      <c r="C204" s="19">
        <v>0</v>
      </c>
      <c r="D204" s="30">
        <v>8</v>
      </c>
      <c r="E204" s="15"/>
      <c r="F204" s="15"/>
      <c r="G204" s="20">
        <f t="shared" si="17"/>
        <v>485883.1300000003</v>
      </c>
      <c r="H204" s="249" t="s">
        <v>25</v>
      </c>
      <c r="I204" s="255" t="s">
        <v>116</v>
      </c>
      <c r="J204" s="297" t="s">
        <v>117</v>
      </c>
      <c r="K204" s="15"/>
      <c r="L204" s="416" t="s">
        <v>437</v>
      </c>
      <c r="M204" t="str">
        <f t="shared" si="14"/>
        <v/>
      </c>
      <c r="N204" t="str">
        <f t="shared" si="18"/>
        <v/>
      </c>
    </row>
    <row r="205" spans="1:14" ht="15" thickBot="1">
      <c r="A205" s="69">
        <v>46204</v>
      </c>
      <c r="B205" s="70" t="s">
        <v>168</v>
      </c>
      <c r="C205" s="358"/>
      <c r="D205" s="70"/>
      <c r="E205" s="358">
        <v>16.420000000000002</v>
      </c>
      <c r="F205" s="72">
        <v>12270.21</v>
      </c>
      <c r="G205" s="74">
        <f>G204+F205</f>
        <v>498153.34000000032</v>
      </c>
      <c r="H205" s="359" t="s">
        <v>13</v>
      </c>
      <c r="I205" s="334" t="s">
        <v>127</v>
      </c>
      <c r="J205" s="517" t="s">
        <v>738</v>
      </c>
      <c r="K205" s="416" t="s">
        <v>127</v>
      </c>
      <c r="L205" s="15"/>
      <c r="M205" t="str">
        <f t="shared" si="14"/>
        <v/>
      </c>
      <c r="N205" t="str">
        <f t="shared" si="18"/>
        <v/>
      </c>
    </row>
    <row r="206" spans="1:14" ht="15" thickBot="1">
      <c r="A206" s="231">
        <v>46204</v>
      </c>
      <c r="B206" s="270" t="s">
        <v>169</v>
      </c>
      <c r="C206" s="232">
        <v>0.25</v>
      </c>
      <c r="D206" s="24">
        <v>184.05</v>
      </c>
      <c r="E206" s="234"/>
      <c r="F206" s="234"/>
      <c r="G206" s="245">
        <f>G205-D206</f>
        <v>497969.29000000033</v>
      </c>
      <c r="H206" s="267" t="s">
        <v>13</v>
      </c>
      <c r="I206" s="15" t="s">
        <v>116</v>
      </c>
      <c r="J206" s="15" t="s">
        <v>117</v>
      </c>
      <c r="K206" s="15"/>
      <c r="L206" s="416" t="s">
        <v>437</v>
      </c>
      <c r="M206" t="str">
        <f t="shared" si="14"/>
        <v/>
      </c>
      <c r="N206" t="str">
        <f t="shared" si="18"/>
        <v/>
      </c>
    </row>
    <row r="207" spans="1:14" ht="15" thickBot="1">
      <c r="A207" s="361">
        <v>46204</v>
      </c>
      <c r="B207" s="518" t="s">
        <v>170</v>
      </c>
      <c r="C207" s="73"/>
      <c r="D207" s="72"/>
      <c r="E207" s="358">
        <v>27.94</v>
      </c>
      <c r="F207" s="72">
        <v>20878.57</v>
      </c>
      <c r="G207" s="74">
        <f>G206+F207</f>
        <v>518847.86000000034</v>
      </c>
      <c r="H207" s="362" t="s">
        <v>13</v>
      </c>
      <c r="I207" s="334" t="s">
        <v>127</v>
      </c>
      <c r="J207" s="517" t="s">
        <v>738</v>
      </c>
      <c r="K207" s="416" t="s">
        <v>127</v>
      </c>
      <c r="L207" s="15"/>
      <c r="M207" t="str">
        <f t="shared" si="14"/>
        <v/>
      </c>
      <c r="N207" t="str">
        <f t="shared" si="18"/>
        <v/>
      </c>
    </row>
    <row r="208" spans="1:14" ht="15" thickBot="1">
      <c r="A208" s="231">
        <v>46204</v>
      </c>
      <c r="B208" s="274" t="s">
        <v>169</v>
      </c>
      <c r="C208" s="247">
        <v>0.42</v>
      </c>
      <c r="D208" s="247">
        <v>313.17</v>
      </c>
      <c r="E208" s="15"/>
      <c r="G208" s="245">
        <f>G207-D208</f>
        <v>518534.69000000035</v>
      </c>
      <c r="H208" s="267" t="s">
        <v>13</v>
      </c>
      <c r="I208" s="15" t="s">
        <v>116</v>
      </c>
      <c r="J208" s="15" t="s">
        <v>117</v>
      </c>
      <c r="K208" s="15"/>
      <c r="L208" s="416" t="s">
        <v>437</v>
      </c>
      <c r="M208" t="str">
        <f t="shared" si="14"/>
        <v/>
      </c>
      <c r="N208" t="str">
        <f t="shared" si="18"/>
        <v/>
      </c>
    </row>
    <row r="209" spans="1:14" ht="15" thickBot="1">
      <c r="A209" s="231">
        <v>46204</v>
      </c>
      <c r="B209" s="270" t="s">
        <v>31</v>
      </c>
      <c r="C209" s="233">
        <v>1.27</v>
      </c>
      <c r="D209" s="24">
        <v>951</v>
      </c>
      <c r="E209" s="234"/>
      <c r="F209" s="234"/>
      <c r="G209" s="245">
        <f>G208-D209</f>
        <v>517583.69000000035</v>
      </c>
      <c r="H209" s="267" t="s">
        <v>25</v>
      </c>
      <c r="I209" s="416" t="s">
        <v>116</v>
      </c>
      <c r="J209" s="15" t="s">
        <v>117</v>
      </c>
      <c r="K209" s="15"/>
      <c r="L209" s="416" t="s">
        <v>437</v>
      </c>
      <c r="M209" t="str">
        <f t="shared" si="14"/>
        <v/>
      </c>
      <c r="N209" t="str">
        <f t="shared" si="18"/>
        <v/>
      </c>
    </row>
    <row r="210" spans="1:14" ht="15" thickBot="1">
      <c r="A210" s="231">
        <v>46204</v>
      </c>
      <c r="B210" s="270" t="s">
        <v>171</v>
      </c>
      <c r="C210" s="24">
        <v>424.18</v>
      </c>
      <c r="D210" s="235">
        <v>317000</v>
      </c>
      <c r="E210" s="234"/>
      <c r="F210" s="234"/>
      <c r="G210" s="245">
        <f>G209-D210</f>
        <v>200583.69000000035</v>
      </c>
      <c r="H210" s="275" t="s">
        <v>10</v>
      </c>
      <c r="I210" s="15" t="s">
        <v>119</v>
      </c>
      <c r="J210" s="416" t="s">
        <v>447</v>
      </c>
      <c r="K210" s="15"/>
      <c r="L210" s="416" t="s">
        <v>437</v>
      </c>
      <c r="M210" t="str">
        <f t="shared" si="14"/>
        <v/>
      </c>
      <c r="N210" t="str">
        <f t="shared" si="18"/>
        <v/>
      </c>
    </row>
    <row r="211" spans="1:14" ht="15" thickBot="1">
      <c r="A211" s="276">
        <v>46204</v>
      </c>
      <c r="B211" s="266" t="s">
        <v>31</v>
      </c>
      <c r="C211" s="246">
        <v>1.27</v>
      </c>
      <c r="D211" s="277">
        <v>951</v>
      </c>
      <c r="E211" s="237"/>
      <c r="F211" s="238"/>
      <c r="G211" s="245">
        <f>G210-D211</f>
        <v>199632.69000000035</v>
      </c>
      <c r="H211" s="275" t="s">
        <v>25</v>
      </c>
      <c r="I211" s="416" t="s">
        <v>116</v>
      </c>
      <c r="J211" s="15" t="s">
        <v>117</v>
      </c>
      <c r="K211" s="15"/>
      <c r="L211" s="416" t="s">
        <v>437</v>
      </c>
      <c r="M211" t="str">
        <f t="shared" si="14"/>
        <v/>
      </c>
      <c r="N211" t="str">
        <f t="shared" si="18"/>
        <v/>
      </c>
    </row>
    <row r="212" spans="1:14" ht="15" thickBot="1">
      <c r="A212" s="69">
        <v>46205</v>
      </c>
      <c r="B212" s="70" t="s">
        <v>172</v>
      </c>
      <c r="C212" s="72"/>
      <c r="D212" s="72"/>
      <c r="E212" s="72">
        <v>19.5</v>
      </c>
      <c r="F212" s="73">
        <v>14884.9</v>
      </c>
      <c r="G212" s="74">
        <f>G211+F212</f>
        <v>214517.59000000035</v>
      </c>
      <c r="H212" s="75" t="s">
        <v>25</v>
      </c>
      <c r="I212" s="15" t="s">
        <v>127</v>
      </c>
      <c r="J212" s="517" t="s">
        <v>738</v>
      </c>
      <c r="K212" s="416" t="s">
        <v>127</v>
      </c>
      <c r="L212" s="15"/>
      <c r="M212" t="str">
        <f t="shared" ref="M212:M275" si="19">IF(E212="","",IF(E212=F212,"OJOOO",""))</f>
        <v/>
      </c>
      <c r="N212" t="str">
        <f t="shared" si="18"/>
        <v/>
      </c>
    </row>
    <row r="213" spans="1:14" ht="15" thickBot="1">
      <c r="A213" s="69">
        <v>46205</v>
      </c>
      <c r="B213" s="70" t="s">
        <v>173</v>
      </c>
      <c r="C213" s="72"/>
      <c r="D213" s="366"/>
      <c r="E213" s="72">
        <v>15.79</v>
      </c>
      <c r="F213" s="73">
        <v>12049.68</v>
      </c>
      <c r="G213" s="74">
        <f>G212+F213</f>
        <v>226567.27000000034</v>
      </c>
      <c r="H213" s="75" t="s">
        <v>25</v>
      </c>
      <c r="I213" s="15" t="s">
        <v>127</v>
      </c>
      <c r="J213" s="517" t="s">
        <v>738</v>
      </c>
      <c r="K213" s="416" t="s">
        <v>127</v>
      </c>
      <c r="L213" s="416"/>
      <c r="M213" t="str">
        <f t="shared" si="19"/>
        <v/>
      </c>
      <c r="N213" t="str">
        <f t="shared" si="18"/>
        <v/>
      </c>
    </row>
    <row r="214" spans="1:14" ht="15" thickBot="1">
      <c r="A214" s="231">
        <v>46205</v>
      </c>
      <c r="B214" s="278" t="s">
        <v>169</v>
      </c>
      <c r="C214" s="24">
        <v>0.28999999999999998</v>
      </c>
      <c r="D214" s="235">
        <v>223.27</v>
      </c>
      <c r="E214" s="234"/>
      <c r="F214" s="234"/>
      <c r="G214" s="76">
        <f>G213-D214</f>
        <v>226344.00000000035</v>
      </c>
      <c r="H214" s="280" t="s">
        <v>13</v>
      </c>
      <c r="I214" s="416" t="s">
        <v>116</v>
      </c>
      <c r="J214" s="15" t="s">
        <v>117</v>
      </c>
      <c r="K214" s="15"/>
      <c r="L214" s="416" t="s">
        <v>437</v>
      </c>
      <c r="M214" t="str">
        <f t="shared" si="19"/>
        <v/>
      </c>
      <c r="N214" t="str">
        <f t="shared" si="18"/>
        <v/>
      </c>
    </row>
    <row r="215" spans="1:14" ht="15" thickBot="1">
      <c r="A215" s="231">
        <v>46205</v>
      </c>
      <c r="B215" s="278" t="s">
        <v>169</v>
      </c>
      <c r="C215" s="24">
        <v>0.24</v>
      </c>
      <c r="D215" s="235">
        <v>180.74299999999999</v>
      </c>
      <c r="E215" s="234"/>
      <c r="F215" s="234"/>
      <c r="G215" s="76">
        <f>G214-D215</f>
        <v>226163.25700000036</v>
      </c>
      <c r="H215" s="280" t="s">
        <v>13</v>
      </c>
      <c r="I215" s="15" t="s">
        <v>116</v>
      </c>
      <c r="J215" s="15" t="s">
        <v>117</v>
      </c>
      <c r="K215" s="15"/>
      <c r="L215" s="416" t="s">
        <v>437</v>
      </c>
      <c r="M215" t="str">
        <f t="shared" si="19"/>
        <v/>
      </c>
      <c r="N215" t="str">
        <f t="shared" si="18"/>
        <v/>
      </c>
    </row>
    <row r="216" spans="1:14" ht="15" thickBot="1">
      <c r="A216" s="231">
        <v>46205</v>
      </c>
      <c r="B216" s="278" t="s">
        <v>174</v>
      </c>
      <c r="C216" s="24">
        <v>6.76</v>
      </c>
      <c r="D216" s="235">
        <v>5160.53</v>
      </c>
      <c r="E216" s="234"/>
      <c r="F216" s="234"/>
      <c r="G216" s="76">
        <f>G215-D216</f>
        <v>221002.72700000036</v>
      </c>
      <c r="H216" s="280" t="s">
        <v>13</v>
      </c>
      <c r="I216" s="15" t="s">
        <v>116</v>
      </c>
      <c r="J216" s="15" t="s">
        <v>269</v>
      </c>
      <c r="K216" s="15"/>
      <c r="L216" s="416" t="s">
        <v>437</v>
      </c>
      <c r="M216" t="str">
        <f t="shared" si="19"/>
        <v/>
      </c>
      <c r="N216" t="str">
        <f t="shared" si="18"/>
        <v/>
      </c>
    </row>
    <row r="217" spans="1:14" ht="15" thickBot="1">
      <c r="A217" s="69">
        <v>46206</v>
      </c>
      <c r="B217" s="70" t="s">
        <v>175</v>
      </c>
      <c r="C217" s="72"/>
      <c r="D217" s="73"/>
      <c r="E217" s="72">
        <v>16.84</v>
      </c>
      <c r="F217" s="72">
        <v>12850.39</v>
      </c>
      <c r="G217" s="74">
        <f>G216+F217</f>
        <v>233853.11700000038</v>
      </c>
      <c r="H217" s="75" t="s">
        <v>13</v>
      </c>
      <c r="I217" s="15" t="s">
        <v>127</v>
      </c>
      <c r="J217" s="517" t="s">
        <v>738</v>
      </c>
      <c r="K217" s="416" t="s">
        <v>127</v>
      </c>
      <c r="L217" s="416"/>
      <c r="M217" t="str">
        <f t="shared" si="19"/>
        <v/>
      </c>
      <c r="N217" t="str">
        <f t="shared" si="18"/>
        <v/>
      </c>
    </row>
    <row r="218" spans="1:14" ht="15" thickBot="1">
      <c r="A218" s="69">
        <v>46206</v>
      </c>
      <c r="B218" s="70" t="s">
        <v>176</v>
      </c>
      <c r="C218" s="72"/>
      <c r="D218" s="73"/>
      <c r="E218" s="72">
        <v>16.82</v>
      </c>
      <c r="F218" s="72">
        <v>12835.07</v>
      </c>
      <c r="G218" s="74">
        <f>G217+F218</f>
        <v>246688.18700000038</v>
      </c>
      <c r="H218" s="75" t="s">
        <v>13</v>
      </c>
      <c r="I218" s="15" t="s">
        <v>127</v>
      </c>
      <c r="J218" s="517" t="s">
        <v>738</v>
      </c>
      <c r="K218" s="416" t="s">
        <v>127</v>
      </c>
      <c r="L218" s="416"/>
      <c r="M218" t="str">
        <f t="shared" si="19"/>
        <v/>
      </c>
      <c r="N218" t="str">
        <f t="shared" si="18"/>
        <v/>
      </c>
    </row>
    <row r="219" spans="1:14" ht="15" thickBot="1">
      <c r="A219" s="281">
        <v>46206</v>
      </c>
      <c r="B219" s="278" t="s">
        <v>169</v>
      </c>
      <c r="C219" s="237"/>
      <c r="D219" s="244">
        <v>192.75</v>
      </c>
      <c r="E219" s="236"/>
      <c r="F219" s="236"/>
      <c r="G219" s="240">
        <f>G218-D219</f>
        <v>246495.43700000038</v>
      </c>
      <c r="H219" s="280" t="s">
        <v>13</v>
      </c>
      <c r="I219" s="15" t="s">
        <v>116</v>
      </c>
      <c r="J219" s="15" t="s">
        <v>117</v>
      </c>
      <c r="K219" s="15"/>
      <c r="L219" s="416" t="s">
        <v>437</v>
      </c>
      <c r="M219" t="str">
        <f t="shared" si="19"/>
        <v/>
      </c>
      <c r="N219" t="str">
        <f t="shared" si="18"/>
        <v/>
      </c>
    </row>
    <row r="220" spans="1:14" ht="15" thickBot="1">
      <c r="A220" s="281">
        <v>46206</v>
      </c>
      <c r="B220" s="278" t="s">
        <v>169</v>
      </c>
      <c r="C220" s="151"/>
      <c r="D220" s="244">
        <v>192.52</v>
      </c>
      <c r="E220" s="150"/>
      <c r="F220" s="150"/>
      <c r="G220" s="153">
        <f>G219-D220</f>
        <v>246302.91700000039</v>
      </c>
      <c r="H220" s="280" t="s">
        <v>13</v>
      </c>
      <c r="I220" s="15" t="s">
        <v>116</v>
      </c>
      <c r="J220" s="15" t="s">
        <v>117</v>
      </c>
      <c r="K220" s="15"/>
      <c r="L220" s="416" t="s">
        <v>437</v>
      </c>
      <c r="M220" t="str">
        <f t="shared" si="19"/>
        <v/>
      </c>
      <c r="N220" t="str">
        <f t="shared" si="18"/>
        <v/>
      </c>
    </row>
    <row r="221" spans="1:14" ht="15" thickBot="1">
      <c r="A221" s="69">
        <v>46206</v>
      </c>
      <c r="B221" s="70" t="s">
        <v>110</v>
      </c>
      <c r="C221" s="72"/>
      <c r="D221" s="73"/>
      <c r="E221" s="70"/>
      <c r="F221" s="72">
        <v>536381.38</v>
      </c>
      <c r="G221" s="74">
        <f>G220+F221</f>
        <v>782684.29700000037</v>
      </c>
      <c r="H221" s="75" t="s">
        <v>10</v>
      </c>
      <c r="I221" s="15" t="s">
        <v>127</v>
      </c>
      <c r="J221" s="519" t="s">
        <v>737</v>
      </c>
      <c r="K221" s="416" t="s">
        <v>127</v>
      </c>
      <c r="L221" s="416"/>
      <c r="M221" t="str">
        <f t="shared" si="19"/>
        <v/>
      </c>
      <c r="N221" t="str">
        <f t="shared" si="18"/>
        <v/>
      </c>
    </row>
    <row r="222" spans="1:14" ht="15" thickBot="1">
      <c r="A222" s="231">
        <v>46206</v>
      </c>
      <c r="B222" s="278" t="s">
        <v>177</v>
      </c>
      <c r="C222" s="24">
        <v>47.06</v>
      </c>
      <c r="D222" s="235">
        <v>35915</v>
      </c>
      <c r="E222" s="234"/>
      <c r="F222" s="234"/>
      <c r="G222" s="153">
        <f>G221-D222</f>
        <v>746769.29700000037</v>
      </c>
      <c r="H222" s="280" t="s">
        <v>10</v>
      </c>
      <c r="I222" s="15" t="s">
        <v>116</v>
      </c>
      <c r="J222" s="15" t="s">
        <v>20</v>
      </c>
      <c r="K222" s="15"/>
      <c r="L222" s="416" t="s">
        <v>437</v>
      </c>
      <c r="M222" t="str">
        <f t="shared" si="19"/>
        <v/>
      </c>
      <c r="N222" t="str">
        <f t="shared" si="18"/>
        <v/>
      </c>
    </row>
    <row r="223" spans="1:14" ht="15" thickBot="1">
      <c r="A223" s="281">
        <v>46206</v>
      </c>
      <c r="B223" s="278" t="s">
        <v>31</v>
      </c>
      <c r="C223" s="24">
        <v>0.14000000000000001</v>
      </c>
      <c r="D223" s="235">
        <v>107.74</v>
      </c>
      <c r="E223" s="234"/>
      <c r="F223" s="234"/>
      <c r="G223" s="153">
        <f>G222-D223</f>
        <v>746661.55700000038</v>
      </c>
      <c r="H223" s="280" t="s">
        <v>25</v>
      </c>
      <c r="I223" s="15" t="s">
        <v>116</v>
      </c>
      <c r="J223" s="15" t="s">
        <v>20</v>
      </c>
      <c r="K223" s="15"/>
      <c r="L223" s="416" t="s">
        <v>437</v>
      </c>
      <c r="M223" t="str">
        <f t="shared" si="19"/>
        <v/>
      </c>
      <c r="N223" t="str">
        <f t="shared" si="18"/>
        <v/>
      </c>
    </row>
    <row r="224" spans="1:14" ht="15" thickBot="1">
      <c r="A224" s="281">
        <v>46206</v>
      </c>
      <c r="B224" s="278" t="s">
        <v>178</v>
      </c>
      <c r="C224" s="246">
        <v>50.99</v>
      </c>
      <c r="D224" s="244">
        <v>38917</v>
      </c>
      <c r="E224" s="283"/>
      <c r="F224" s="282"/>
      <c r="G224" s="245">
        <f>G223-D224</f>
        <v>707744.55700000038</v>
      </c>
      <c r="H224" s="280" t="s">
        <v>13</v>
      </c>
      <c r="I224" s="15" t="s">
        <v>116</v>
      </c>
      <c r="J224" s="15" t="s">
        <v>20</v>
      </c>
      <c r="K224" s="15"/>
      <c r="L224" s="416" t="s">
        <v>437</v>
      </c>
      <c r="M224" t="str">
        <f t="shared" si="19"/>
        <v/>
      </c>
      <c r="N224" t="str">
        <f t="shared" si="18"/>
        <v/>
      </c>
    </row>
    <row r="225" spans="1:14" ht="15" thickBot="1">
      <c r="A225" s="231">
        <v>46206</v>
      </c>
      <c r="B225" s="284" t="s">
        <v>179</v>
      </c>
      <c r="C225" s="24">
        <v>145.44999999999999</v>
      </c>
      <c r="D225" s="235">
        <v>111006</v>
      </c>
      <c r="E225" s="234"/>
      <c r="F225" s="234"/>
      <c r="G225" s="76">
        <f>G224-D225</f>
        <v>596738.55700000038</v>
      </c>
      <c r="H225" s="280" t="s">
        <v>25</v>
      </c>
      <c r="I225" s="15" t="s">
        <v>116</v>
      </c>
      <c r="J225" s="15" t="s">
        <v>118</v>
      </c>
      <c r="K225" s="15"/>
      <c r="L225" s="416" t="s">
        <v>437</v>
      </c>
      <c r="M225" t="str">
        <f t="shared" si="19"/>
        <v/>
      </c>
      <c r="N225" t="str">
        <f t="shared" si="18"/>
        <v/>
      </c>
    </row>
    <row r="226" spans="1:14" ht="15" thickBot="1">
      <c r="A226" s="231">
        <v>46206</v>
      </c>
      <c r="B226" s="278" t="s">
        <v>31</v>
      </c>
      <c r="C226" s="24">
        <v>0.44</v>
      </c>
      <c r="D226" s="235">
        <v>333.01</v>
      </c>
      <c r="E226" s="234"/>
      <c r="F226" s="234"/>
      <c r="G226" s="76">
        <f>G225-D226</f>
        <v>596405.54700000037</v>
      </c>
      <c r="H226" s="280" t="s">
        <v>25</v>
      </c>
      <c r="I226" s="15" t="s">
        <v>116</v>
      </c>
      <c r="J226" s="15" t="s">
        <v>118</v>
      </c>
      <c r="K226" s="15"/>
      <c r="L226" s="416" t="s">
        <v>437</v>
      </c>
      <c r="M226" t="str">
        <f t="shared" si="19"/>
        <v/>
      </c>
      <c r="N226" t="str">
        <f t="shared" si="18"/>
        <v/>
      </c>
    </row>
    <row r="227" spans="1:14" ht="15" thickBot="1">
      <c r="A227" s="69">
        <v>46207</v>
      </c>
      <c r="B227" s="70" t="s">
        <v>180</v>
      </c>
      <c r="C227" s="72"/>
      <c r="D227" s="73"/>
      <c r="E227" s="70">
        <v>14.66</v>
      </c>
      <c r="F227" s="72">
        <v>11188.39</v>
      </c>
      <c r="G227" s="74">
        <f>G226+F227</f>
        <v>607593.93700000038</v>
      </c>
      <c r="H227" s="75" t="s">
        <v>13</v>
      </c>
      <c r="I227" s="15" t="s">
        <v>127</v>
      </c>
      <c r="J227" s="519" t="s">
        <v>738</v>
      </c>
      <c r="K227" s="416" t="s">
        <v>127</v>
      </c>
      <c r="L227" s="15"/>
      <c r="M227" t="str">
        <f t="shared" si="19"/>
        <v/>
      </c>
      <c r="N227" t="str">
        <f t="shared" si="18"/>
        <v/>
      </c>
    </row>
    <row r="228" spans="1:14" ht="15" thickBot="1">
      <c r="A228" s="69">
        <v>46207</v>
      </c>
      <c r="B228" s="70" t="s">
        <v>181</v>
      </c>
      <c r="C228" s="72"/>
      <c r="D228" s="73"/>
      <c r="E228" s="70">
        <v>2.88</v>
      </c>
      <c r="F228" s="72">
        <v>2197.15</v>
      </c>
      <c r="G228" s="74">
        <f>G227+F228</f>
        <v>609791.08700000041</v>
      </c>
      <c r="H228" s="75" t="s">
        <v>13</v>
      </c>
      <c r="I228" s="15" t="s">
        <v>127</v>
      </c>
      <c r="J228" s="519" t="s">
        <v>738</v>
      </c>
      <c r="K228" s="416" t="s">
        <v>127</v>
      </c>
      <c r="L228" s="15"/>
      <c r="M228" t="str">
        <f t="shared" si="19"/>
        <v/>
      </c>
      <c r="N228" t="str">
        <f t="shared" si="18"/>
        <v/>
      </c>
    </row>
    <row r="229" spans="1:14" ht="15" thickBot="1">
      <c r="A229" s="231">
        <v>46207</v>
      </c>
      <c r="B229" s="284" t="s">
        <v>169</v>
      </c>
      <c r="C229" s="24">
        <v>0.22</v>
      </c>
      <c r="D229" s="235">
        <v>167.82</v>
      </c>
      <c r="E229" s="234"/>
      <c r="F229" s="234"/>
      <c r="G229" s="76">
        <f>G228-D229</f>
        <v>609623.26700000046</v>
      </c>
      <c r="H229" s="280" t="s">
        <v>13</v>
      </c>
      <c r="I229" s="15" t="s">
        <v>116</v>
      </c>
      <c r="J229" s="15" t="s">
        <v>117</v>
      </c>
      <c r="K229" s="15"/>
      <c r="L229" s="416" t="s">
        <v>437</v>
      </c>
      <c r="M229" t="str">
        <f t="shared" si="19"/>
        <v/>
      </c>
      <c r="N229" t="str">
        <f t="shared" si="18"/>
        <v/>
      </c>
    </row>
    <row r="230" spans="1:14" ht="15" thickBot="1">
      <c r="A230" s="231">
        <v>46207</v>
      </c>
      <c r="B230" s="284" t="s">
        <v>169</v>
      </c>
      <c r="C230" s="24">
        <v>0.04</v>
      </c>
      <c r="D230" s="235">
        <v>32.950000000000003</v>
      </c>
      <c r="E230" s="234"/>
      <c r="F230" s="234"/>
      <c r="G230" s="76">
        <f>G229-D230</f>
        <v>609590.3170000005</v>
      </c>
      <c r="H230" s="280" t="s">
        <v>13</v>
      </c>
      <c r="I230" s="15" t="s">
        <v>116</v>
      </c>
      <c r="J230" s="15" t="s">
        <v>117</v>
      </c>
      <c r="K230" s="15"/>
      <c r="L230" s="416" t="s">
        <v>437</v>
      </c>
      <c r="M230" t="str">
        <f t="shared" si="19"/>
        <v/>
      </c>
      <c r="N230" t="str">
        <f t="shared" si="18"/>
        <v/>
      </c>
    </row>
    <row r="231" spans="1:14" ht="15" thickBot="1">
      <c r="A231" s="69">
        <v>46208</v>
      </c>
      <c r="B231" s="378" t="s">
        <v>182</v>
      </c>
      <c r="C231" s="72"/>
      <c r="D231" s="73"/>
      <c r="E231" s="70">
        <v>14.7</v>
      </c>
      <c r="F231" s="72">
        <v>11218.9</v>
      </c>
      <c r="G231" s="74">
        <f>G230+F231</f>
        <v>620809.21700000053</v>
      </c>
      <c r="H231" s="75"/>
      <c r="I231" s="15" t="s">
        <v>127</v>
      </c>
      <c r="J231" s="519" t="s">
        <v>738</v>
      </c>
      <c r="K231" s="416" t="s">
        <v>127</v>
      </c>
      <c r="L231" s="15"/>
      <c r="M231" t="str">
        <f t="shared" si="19"/>
        <v/>
      </c>
      <c r="N231" t="str">
        <f t="shared" si="18"/>
        <v/>
      </c>
    </row>
    <row r="232" spans="1:14" ht="15" thickBot="1">
      <c r="A232" s="69">
        <v>46208</v>
      </c>
      <c r="B232" s="378" t="s">
        <v>183</v>
      </c>
      <c r="C232" s="72"/>
      <c r="D232" s="73"/>
      <c r="E232" s="70">
        <v>14.7</v>
      </c>
      <c r="F232" s="72">
        <v>11218.83</v>
      </c>
      <c r="G232" s="74">
        <f>G231+F232</f>
        <v>632028.04700000049</v>
      </c>
      <c r="H232" s="75"/>
      <c r="I232" s="15" t="s">
        <v>127</v>
      </c>
      <c r="J232" s="519" t="s">
        <v>738</v>
      </c>
      <c r="K232" s="416" t="s">
        <v>127</v>
      </c>
      <c r="L232" s="15"/>
      <c r="M232" t="str">
        <f t="shared" si="19"/>
        <v/>
      </c>
      <c r="N232" t="str">
        <f t="shared" si="18"/>
        <v/>
      </c>
    </row>
    <row r="233" spans="1:14" ht="15" thickBot="1">
      <c r="A233" s="281">
        <v>46208</v>
      </c>
      <c r="B233" s="284" t="s">
        <v>169</v>
      </c>
      <c r="C233" s="246">
        <v>0.22</v>
      </c>
      <c r="D233" s="244">
        <v>168.28</v>
      </c>
      <c r="E233" s="236"/>
      <c r="F233" s="236"/>
      <c r="G233" s="245">
        <f>G232-D233</f>
        <v>631859.76700000046</v>
      </c>
      <c r="H233" s="280" t="s">
        <v>13</v>
      </c>
      <c r="I233" s="15" t="s">
        <v>116</v>
      </c>
      <c r="J233" s="15" t="s">
        <v>117</v>
      </c>
      <c r="K233" s="15"/>
      <c r="L233" s="416" t="s">
        <v>437</v>
      </c>
      <c r="M233" t="str">
        <f t="shared" si="19"/>
        <v/>
      </c>
      <c r="N233" t="str">
        <f t="shared" si="18"/>
        <v/>
      </c>
    </row>
    <row r="234" spans="1:14" ht="15" thickBot="1">
      <c r="A234" s="241">
        <v>46208</v>
      </c>
      <c r="B234" s="284" t="s">
        <v>169</v>
      </c>
      <c r="C234" s="246">
        <v>0.22</v>
      </c>
      <c r="D234" s="244">
        <v>168.28</v>
      </c>
      <c r="E234" s="242"/>
      <c r="F234" s="242"/>
      <c r="G234" s="245">
        <f>G233-D234</f>
        <v>631691.48700000043</v>
      </c>
      <c r="H234" s="280" t="s">
        <v>13</v>
      </c>
      <c r="I234" s="15" t="s">
        <v>116</v>
      </c>
      <c r="J234" s="15" t="s">
        <v>117</v>
      </c>
      <c r="K234" s="15"/>
      <c r="L234" s="416" t="s">
        <v>437</v>
      </c>
      <c r="M234" t="str">
        <f t="shared" si="19"/>
        <v/>
      </c>
      <c r="N234" t="str">
        <f t="shared" si="18"/>
        <v/>
      </c>
    </row>
    <row r="235" spans="1:14" ht="15" thickBot="1">
      <c r="A235" s="69">
        <v>46209</v>
      </c>
      <c r="B235" s="378" t="s">
        <v>180</v>
      </c>
      <c r="C235" s="72"/>
      <c r="D235" s="73"/>
      <c r="E235" s="70">
        <v>11.76</v>
      </c>
      <c r="F235" s="72">
        <v>8975.14</v>
      </c>
      <c r="G235" s="74">
        <f>G234+F235</f>
        <v>640666.62700000044</v>
      </c>
      <c r="H235" s="75" t="s">
        <v>13</v>
      </c>
      <c r="I235" s="15" t="s">
        <v>127</v>
      </c>
      <c r="J235" s="519" t="s">
        <v>738</v>
      </c>
      <c r="K235" s="416" t="s">
        <v>127</v>
      </c>
      <c r="L235" s="15"/>
      <c r="M235" t="str">
        <f t="shared" si="19"/>
        <v/>
      </c>
      <c r="N235" t="str">
        <f t="shared" si="18"/>
        <v/>
      </c>
    </row>
    <row r="236" spans="1:14" ht="15" thickBot="1">
      <c r="A236" s="69">
        <v>46209</v>
      </c>
      <c r="B236" s="378" t="s">
        <v>184</v>
      </c>
      <c r="C236" s="72"/>
      <c r="D236" s="73"/>
      <c r="E236" s="70">
        <v>11.75</v>
      </c>
      <c r="F236" s="72">
        <v>8967.6</v>
      </c>
      <c r="G236" s="74">
        <f>G235+F236</f>
        <v>649634.22700000042</v>
      </c>
      <c r="H236" s="75" t="s">
        <v>13</v>
      </c>
      <c r="I236" s="15" t="s">
        <v>127</v>
      </c>
      <c r="J236" s="519" t="s">
        <v>738</v>
      </c>
      <c r="K236" s="416" t="s">
        <v>127</v>
      </c>
      <c r="L236" s="15"/>
      <c r="M236" t="str">
        <f t="shared" si="19"/>
        <v/>
      </c>
      <c r="N236" t="str">
        <f t="shared" si="18"/>
        <v/>
      </c>
    </row>
    <row r="237" spans="1:14" ht="15" thickBot="1">
      <c r="A237" s="231">
        <v>46209</v>
      </c>
      <c r="B237" s="284" t="s">
        <v>169</v>
      </c>
      <c r="C237" s="24">
        <v>0.18</v>
      </c>
      <c r="D237" s="235">
        <v>134.62</v>
      </c>
      <c r="E237" s="234"/>
      <c r="F237" s="234"/>
      <c r="G237" s="76">
        <f>G236-D237</f>
        <v>649499.60700000043</v>
      </c>
      <c r="H237" s="280" t="s">
        <v>13</v>
      </c>
      <c r="I237" s="15" t="s">
        <v>116</v>
      </c>
      <c r="J237" s="15" t="s">
        <v>117</v>
      </c>
      <c r="K237" s="15"/>
      <c r="L237" s="416" t="s">
        <v>437</v>
      </c>
      <c r="M237" t="str">
        <f t="shared" si="19"/>
        <v/>
      </c>
      <c r="N237" t="str">
        <f t="shared" si="18"/>
        <v/>
      </c>
    </row>
    <row r="238" spans="1:14" ht="15" thickBot="1">
      <c r="A238" s="281">
        <v>46209</v>
      </c>
      <c r="B238" s="284" t="s">
        <v>169</v>
      </c>
      <c r="C238" s="24">
        <v>0.18</v>
      </c>
      <c r="D238" s="235">
        <v>134.51</v>
      </c>
      <c r="E238" s="234"/>
      <c r="F238" s="234"/>
      <c r="G238" s="76">
        <f>G237-D238</f>
        <v>649365.09700000042</v>
      </c>
      <c r="H238" s="280" t="s">
        <v>13</v>
      </c>
      <c r="I238" s="15" t="s">
        <v>116</v>
      </c>
      <c r="J238" s="15" t="s">
        <v>117</v>
      </c>
      <c r="K238" s="15"/>
      <c r="L238" s="416" t="s">
        <v>437</v>
      </c>
      <c r="M238" t="str">
        <f t="shared" si="19"/>
        <v/>
      </c>
      <c r="N238" t="str">
        <f t="shared" si="18"/>
        <v/>
      </c>
    </row>
    <row r="239" spans="1:14" ht="29.5" thickBot="1">
      <c r="A239" s="69">
        <v>46209</v>
      </c>
      <c r="B239" s="378" t="s">
        <v>185</v>
      </c>
      <c r="C239" s="72"/>
      <c r="D239" s="73"/>
      <c r="E239" s="72">
        <v>30</v>
      </c>
      <c r="F239" s="72">
        <v>22895.7</v>
      </c>
      <c r="G239" s="74">
        <f>G238+F239</f>
        <v>672260.79700000037</v>
      </c>
      <c r="H239" s="75" t="s">
        <v>10</v>
      </c>
      <c r="I239" s="15" t="s">
        <v>127</v>
      </c>
      <c r="J239" s="519" t="s">
        <v>738</v>
      </c>
      <c r="K239" s="416" t="s">
        <v>127</v>
      </c>
      <c r="L239" s="15"/>
      <c r="M239" t="str">
        <f t="shared" si="19"/>
        <v/>
      </c>
      <c r="N239" t="str">
        <f t="shared" si="18"/>
        <v/>
      </c>
    </row>
    <row r="240" spans="1:14" ht="15" thickBot="1">
      <c r="A240" s="231">
        <v>46209</v>
      </c>
      <c r="B240" s="335" t="s">
        <v>186</v>
      </c>
      <c r="C240" s="24">
        <v>43.7</v>
      </c>
      <c r="D240" s="235">
        <v>33352.5</v>
      </c>
      <c r="E240" s="234"/>
      <c r="F240" s="234"/>
      <c r="G240" s="76">
        <f>G239-D240</f>
        <v>638908.29700000037</v>
      </c>
      <c r="H240" s="280" t="s">
        <v>10</v>
      </c>
      <c r="I240" s="15" t="s">
        <v>116</v>
      </c>
      <c r="J240" s="15" t="s">
        <v>20</v>
      </c>
      <c r="K240" s="15"/>
      <c r="L240" s="416" t="s">
        <v>437</v>
      </c>
      <c r="M240" t="str">
        <f t="shared" si="19"/>
        <v/>
      </c>
      <c r="N240" t="str">
        <f t="shared" si="18"/>
        <v/>
      </c>
    </row>
    <row r="241" spans="1:14" ht="15" thickBot="1">
      <c r="A241" s="231">
        <v>46209</v>
      </c>
      <c r="B241" s="278" t="s">
        <v>31</v>
      </c>
      <c r="C241" s="24">
        <v>0.13</v>
      </c>
      <c r="D241" s="235">
        <v>100.05</v>
      </c>
      <c r="E241" s="234"/>
      <c r="F241" s="234"/>
      <c r="G241" s="76">
        <f>G240-D241</f>
        <v>638808.24700000032</v>
      </c>
      <c r="H241" s="280" t="s">
        <v>25</v>
      </c>
      <c r="I241" s="15" t="s">
        <v>116</v>
      </c>
      <c r="J241" s="15" t="s">
        <v>20</v>
      </c>
      <c r="K241" s="15"/>
      <c r="L241" s="416" t="s">
        <v>437</v>
      </c>
      <c r="M241" t="str">
        <f t="shared" si="19"/>
        <v/>
      </c>
      <c r="N241" t="str">
        <f t="shared" si="18"/>
        <v/>
      </c>
    </row>
    <row r="242" spans="1:14" ht="15" thickBot="1">
      <c r="A242" s="69">
        <v>46209</v>
      </c>
      <c r="B242" s="378" t="s">
        <v>187</v>
      </c>
      <c r="C242" s="71"/>
      <c r="D242" s="70"/>
      <c r="E242" s="72">
        <v>22.96</v>
      </c>
      <c r="F242" s="73">
        <v>17691.623</v>
      </c>
      <c r="G242" s="74">
        <f>G241+F242</f>
        <v>656499.87000000034</v>
      </c>
      <c r="H242" s="75" t="s">
        <v>10</v>
      </c>
      <c r="I242" s="15" t="s">
        <v>127</v>
      </c>
      <c r="J242" s="519" t="s">
        <v>738</v>
      </c>
      <c r="K242" s="416" t="s">
        <v>127</v>
      </c>
      <c r="L242" s="15"/>
      <c r="M242" t="str">
        <f t="shared" si="19"/>
        <v/>
      </c>
      <c r="N242" t="str">
        <f t="shared" si="18"/>
        <v/>
      </c>
    </row>
    <row r="243" spans="1:14" ht="15" thickBot="1">
      <c r="A243" s="69">
        <v>46209</v>
      </c>
      <c r="B243" s="70" t="s">
        <v>110</v>
      </c>
      <c r="C243" s="72"/>
      <c r="D243" s="73"/>
      <c r="E243" s="72">
        <v>2900.6</v>
      </c>
      <c r="F243" s="72">
        <v>2235439.69</v>
      </c>
      <c r="G243" s="74">
        <f>G242+F243</f>
        <v>2891939.5600000005</v>
      </c>
      <c r="H243" s="75" t="s">
        <v>10</v>
      </c>
      <c r="I243" s="15" t="s">
        <v>127</v>
      </c>
      <c r="J243" s="519" t="s">
        <v>737</v>
      </c>
      <c r="K243" s="416" t="s">
        <v>127</v>
      </c>
      <c r="L243" s="15"/>
      <c r="M243" t="str">
        <f t="shared" si="19"/>
        <v/>
      </c>
      <c r="N243" t="str">
        <f t="shared" si="18"/>
        <v/>
      </c>
    </row>
    <row r="244" spans="1:14" ht="15" thickBot="1">
      <c r="A244" s="69">
        <v>46210</v>
      </c>
      <c r="B244" s="378" t="s">
        <v>188</v>
      </c>
      <c r="C244" s="72"/>
      <c r="D244" s="73"/>
      <c r="E244" s="70"/>
      <c r="F244" s="72">
        <v>13459.63</v>
      </c>
      <c r="G244" s="74">
        <f>G243+F244</f>
        <v>2905399.1900000004</v>
      </c>
      <c r="H244" s="75" t="s">
        <v>13</v>
      </c>
      <c r="I244" s="15" t="s">
        <v>127</v>
      </c>
      <c r="J244" s="519" t="s">
        <v>738</v>
      </c>
      <c r="K244" s="416" t="s">
        <v>127</v>
      </c>
      <c r="L244" s="15"/>
      <c r="M244" t="str">
        <f t="shared" si="19"/>
        <v/>
      </c>
      <c r="N244" t="str">
        <f t="shared" si="18"/>
        <v/>
      </c>
    </row>
    <row r="245" spans="1:14" ht="15" thickBot="1">
      <c r="A245" s="69">
        <v>46210</v>
      </c>
      <c r="B245" s="378" t="s">
        <v>189</v>
      </c>
      <c r="C245" s="72"/>
      <c r="D245" s="73"/>
      <c r="E245" s="70"/>
      <c r="F245" s="72">
        <v>8975.15</v>
      </c>
      <c r="G245" s="74">
        <f>G244+F245</f>
        <v>2914374.3400000003</v>
      </c>
      <c r="H245" s="75" t="s">
        <v>13</v>
      </c>
      <c r="I245" s="15" t="s">
        <v>127</v>
      </c>
      <c r="J245" s="519" t="s">
        <v>738</v>
      </c>
      <c r="K245" s="416" t="s">
        <v>127</v>
      </c>
      <c r="L245" s="15"/>
      <c r="M245" t="str">
        <f t="shared" si="19"/>
        <v/>
      </c>
      <c r="N245" t="str">
        <f t="shared" si="18"/>
        <v/>
      </c>
    </row>
    <row r="246" spans="1:14" ht="15" thickBot="1">
      <c r="A246" s="231">
        <v>46210</v>
      </c>
      <c r="B246" s="285" t="s">
        <v>169</v>
      </c>
      <c r="C246" s="24">
        <v>0.26</v>
      </c>
      <c r="D246" s="235">
        <v>201.89</v>
      </c>
      <c r="E246" s="234"/>
      <c r="F246" s="234"/>
      <c r="G246" s="76">
        <f>G245-D246</f>
        <v>2914172.45</v>
      </c>
      <c r="H246" s="286" t="s">
        <v>13</v>
      </c>
      <c r="I246" s="15" t="s">
        <v>116</v>
      </c>
      <c r="J246" s="15" t="s">
        <v>117</v>
      </c>
      <c r="K246" s="416"/>
      <c r="L246" s="416" t="s">
        <v>437</v>
      </c>
      <c r="M246" t="str">
        <f t="shared" si="19"/>
        <v/>
      </c>
      <c r="N246" t="str">
        <f t="shared" si="18"/>
        <v/>
      </c>
    </row>
    <row r="247" spans="1:14" ht="15" thickBot="1">
      <c r="A247" s="231">
        <v>46210</v>
      </c>
      <c r="B247" s="285" t="s">
        <v>169</v>
      </c>
      <c r="C247" s="24">
        <v>0.17</v>
      </c>
      <c r="D247" s="235">
        <v>134.62</v>
      </c>
      <c r="E247" s="234"/>
      <c r="F247" s="234"/>
      <c r="G247" s="245">
        <f>G246-D247</f>
        <v>2914037.83</v>
      </c>
      <c r="H247" s="286" t="s">
        <v>13</v>
      </c>
      <c r="I247" s="15" t="s">
        <v>116</v>
      </c>
      <c r="J247" s="15" t="s">
        <v>117</v>
      </c>
      <c r="K247" s="15"/>
      <c r="L247" s="416" t="s">
        <v>437</v>
      </c>
      <c r="M247" t="str">
        <f t="shared" si="19"/>
        <v/>
      </c>
      <c r="N247" t="str">
        <f t="shared" si="18"/>
        <v/>
      </c>
    </row>
    <row r="248" spans="1:14" ht="15" thickBot="1">
      <c r="A248" s="231">
        <v>46210</v>
      </c>
      <c r="B248" s="298" t="s">
        <v>210</v>
      </c>
      <c r="C248" s="24">
        <v>0.96</v>
      </c>
      <c r="D248" s="235">
        <v>750</v>
      </c>
      <c r="E248" s="234"/>
      <c r="F248" s="234"/>
      <c r="G248" s="76">
        <f>G247-D248</f>
        <v>2913287.83</v>
      </c>
      <c r="H248" s="299" t="s">
        <v>10</v>
      </c>
      <c r="I248" s="15" t="s">
        <v>266</v>
      </c>
      <c r="J248" s="15" t="s">
        <v>271</v>
      </c>
      <c r="K248" s="15"/>
      <c r="L248" s="416" t="s">
        <v>437</v>
      </c>
      <c r="M248" t="str">
        <f t="shared" si="19"/>
        <v/>
      </c>
      <c r="N248" t="str">
        <f t="shared" si="18"/>
        <v/>
      </c>
    </row>
    <row r="249" spans="1:14" ht="15" thickBot="1">
      <c r="A249" s="300">
        <v>46210</v>
      </c>
      <c r="B249" s="298" t="s">
        <v>31</v>
      </c>
      <c r="C249" s="301">
        <v>0</v>
      </c>
      <c r="D249" s="244">
        <v>2.25</v>
      </c>
      <c r="E249" s="302"/>
      <c r="F249" s="301"/>
      <c r="G249" s="245">
        <f>G248-D249</f>
        <v>2913285.58</v>
      </c>
      <c r="H249" s="299" t="s">
        <v>25</v>
      </c>
      <c r="I249" s="15" t="s">
        <v>266</v>
      </c>
      <c r="J249" s="15" t="s">
        <v>271</v>
      </c>
      <c r="K249" s="15"/>
      <c r="L249" s="416" t="s">
        <v>437</v>
      </c>
      <c r="M249" t="str">
        <f t="shared" si="19"/>
        <v/>
      </c>
      <c r="N249" t="str">
        <f t="shared" si="18"/>
        <v/>
      </c>
    </row>
    <row r="250" spans="1:14" ht="15" thickBot="1">
      <c r="A250" s="69">
        <v>46211</v>
      </c>
      <c r="B250" s="70" t="s">
        <v>211</v>
      </c>
      <c r="C250" s="72"/>
      <c r="D250" s="73"/>
      <c r="E250" s="70">
        <v>26.01</v>
      </c>
      <c r="F250" s="72">
        <v>20386.29</v>
      </c>
      <c r="G250" s="74">
        <f>G249+F250</f>
        <v>2933671.87</v>
      </c>
      <c r="H250" s="75" t="s">
        <v>13</v>
      </c>
      <c r="I250" s="15" t="s">
        <v>127</v>
      </c>
      <c r="J250" s="519" t="s">
        <v>738</v>
      </c>
      <c r="K250" s="416" t="s">
        <v>127</v>
      </c>
      <c r="L250" s="15"/>
      <c r="M250" t="str">
        <f t="shared" si="19"/>
        <v/>
      </c>
      <c r="N250" t="str">
        <f t="shared" si="18"/>
        <v/>
      </c>
    </row>
    <row r="251" spans="1:14" ht="15" thickBot="1">
      <c r="A251" s="69">
        <v>46211</v>
      </c>
      <c r="B251" s="70" t="s">
        <v>212</v>
      </c>
      <c r="C251" s="72"/>
      <c r="D251" s="73"/>
      <c r="E251" s="70">
        <v>17.350000000000001</v>
      </c>
      <c r="F251" s="72">
        <v>13594.82</v>
      </c>
      <c r="G251" s="74">
        <f>G250+F251</f>
        <v>2947266.69</v>
      </c>
      <c r="H251" s="75" t="s">
        <v>13</v>
      </c>
      <c r="I251" s="15" t="s">
        <v>127</v>
      </c>
      <c r="J251" s="519" t="s">
        <v>738</v>
      </c>
      <c r="K251" s="416" t="s">
        <v>127</v>
      </c>
      <c r="L251" s="15"/>
      <c r="M251" t="str">
        <f t="shared" si="19"/>
        <v/>
      </c>
      <c r="N251" t="str">
        <f t="shared" si="18"/>
        <v/>
      </c>
    </row>
    <row r="252" spans="1:14" ht="15" thickBot="1">
      <c r="A252" s="231">
        <v>46211</v>
      </c>
      <c r="B252" s="298" t="s">
        <v>169</v>
      </c>
      <c r="C252" s="24">
        <v>0.39</v>
      </c>
      <c r="D252" s="235">
        <v>305.79000000000002</v>
      </c>
      <c r="E252" s="234"/>
      <c r="F252" s="234"/>
      <c r="G252" s="76">
        <f>G251-D252</f>
        <v>2946960.9</v>
      </c>
      <c r="H252" s="299" t="s">
        <v>13</v>
      </c>
      <c r="I252" s="15" t="s">
        <v>116</v>
      </c>
      <c r="J252" s="15" t="s">
        <v>117</v>
      </c>
      <c r="K252" s="15"/>
      <c r="L252" s="416" t="s">
        <v>437</v>
      </c>
      <c r="M252" t="str">
        <f t="shared" si="19"/>
        <v/>
      </c>
      <c r="N252" t="str">
        <f t="shared" si="18"/>
        <v/>
      </c>
    </row>
    <row r="253" spans="1:14" ht="15" thickBot="1">
      <c r="A253" s="231">
        <v>46211</v>
      </c>
      <c r="B253" s="298" t="s">
        <v>169</v>
      </c>
      <c r="C253" s="246">
        <v>0.26</v>
      </c>
      <c r="D253" s="235">
        <v>203.92</v>
      </c>
      <c r="E253" s="234"/>
      <c r="F253" s="234"/>
      <c r="G253" s="76">
        <f>G252-D253</f>
        <v>2946756.98</v>
      </c>
      <c r="H253" s="299" t="s">
        <v>13</v>
      </c>
      <c r="I253" s="15" t="s">
        <v>116</v>
      </c>
      <c r="J253" s="15" t="s">
        <v>117</v>
      </c>
      <c r="K253" s="15"/>
      <c r="L253" s="416" t="s">
        <v>437</v>
      </c>
      <c r="M253" t="str">
        <f t="shared" si="19"/>
        <v/>
      </c>
      <c r="N253" t="str">
        <f t="shared" si="18"/>
        <v/>
      </c>
    </row>
    <row r="254" spans="1:14" ht="15" thickBot="1">
      <c r="A254" s="69">
        <v>46211</v>
      </c>
      <c r="B254" s="378" t="s">
        <v>213</v>
      </c>
      <c r="C254" s="71"/>
      <c r="D254" s="70"/>
      <c r="E254" s="72">
        <v>30</v>
      </c>
      <c r="F254" s="73">
        <v>23513.1</v>
      </c>
      <c r="G254" s="74">
        <f>G253+F254</f>
        <v>2970270.08</v>
      </c>
      <c r="H254" s="75" t="s">
        <v>10</v>
      </c>
      <c r="I254" s="15" t="s">
        <v>127</v>
      </c>
      <c r="J254" s="519" t="s">
        <v>738</v>
      </c>
      <c r="K254" s="416" t="s">
        <v>127</v>
      </c>
      <c r="L254" s="15"/>
      <c r="M254" t="str">
        <f t="shared" si="19"/>
        <v/>
      </c>
      <c r="N254" t="str">
        <f t="shared" si="18"/>
        <v/>
      </c>
    </row>
    <row r="255" spans="1:14" ht="15" thickBot="1">
      <c r="A255" s="241">
        <v>46211</v>
      </c>
      <c r="B255" s="304" t="s">
        <v>214</v>
      </c>
      <c r="C255" s="247">
        <v>24.09</v>
      </c>
      <c r="D255" s="244">
        <v>18883.93</v>
      </c>
      <c r="E255" s="243"/>
      <c r="F255" s="248"/>
      <c r="G255" s="245">
        <f t="shared" ref="G255:G261" si="20">G254-D255</f>
        <v>2951386.15</v>
      </c>
      <c r="H255" s="299" t="s">
        <v>13</v>
      </c>
      <c r="I255" s="15" t="s">
        <v>116</v>
      </c>
      <c r="J255" s="15" t="s">
        <v>117</v>
      </c>
      <c r="K255" s="15"/>
      <c r="L255" s="416" t="s">
        <v>437</v>
      </c>
      <c r="M255" t="str">
        <f t="shared" si="19"/>
        <v/>
      </c>
      <c r="N255" t="str">
        <f t="shared" si="18"/>
        <v/>
      </c>
    </row>
    <row r="256" spans="1:14" ht="15" thickBot="1">
      <c r="A256" s="300">
        <v>46211</v>
      </c>
      <c r="B256" s="304" t="s">
        <v>215</v>
      </c>
      <c r="C256" s="246">
        <v>4.1900000000000004</v>
      </c>
      <c r="D256" s="244">
        <v>3285.65</v>
      </c>
      <c r="E256" s="236"/>
      <c r="F256" s="237"/>
      <c r="G256" s="245">
        <f t="shared" si="20"/>
        <v>2948100.5</v>
      </c>
      <c r="H256" s="299" t="s">
        <v>13</v>
      </c>
      <c r="I256" s="15" t="s">
        <v>116</v>
      </c>
      <c r="J256" s="15" t="s">
        <v>117</v>
      </c>
      <c r="K256" s="15"/>
      <c r="L256" s="416" t="s">
        <v>437</v>
      </c>
      <c r="M256" t="str">
        <f t="shared" si="19"/>
        <v/>
      </c>
      <c r="N256" t="str">
        <f t="shared" si="18"/>
        <v/>
      </c>
    </row>
    <row r="257" spans="1:14" ht="15" thickBot="1">
      <c r="A257" s="300">
        <v>46211</v>
      </c>
      <c r="B257" s="304" t="s">
        <v>216</v>
      </c>
      <c r="C257" s="246">
        <v>64.06</v>
      </c>
      <c r="D257" s="244">
        <v>50210.81</v>
      </c>
      <c r="E257" s="298"/>
      <c r="F257" s="301"/>
      <c r="G257" s="245">
        <f t="shared" si="20"/>
        <v>2897889.69</v>
      </c>
      <c r="H257" s="299" t="s">
        <v>13</v>
      </c>
      <c r="I257" s="15" t="s">
        <v>116</v>
      </c>
      <c r="J257" s="15" t="s">
        <v>20</v>
      </c>
      <c r="K257" s="15"/>
      <c r="L257" s="416" t="s">
        <v>437</v>
      </c>
      <c r="M257" t="str">
        <f t="shared" si="19"/>
        <v/>
      </c>
      <c r="N257" t="str">
        <f t="shared" si="18"/>
        <v/>
      </c>
    </row>
    <row r="258" spans="1:14" ht="15" thickBot="1">
      <c r="A258" s="231">
        <v>46211</v>
      </c>
      <c r="B258" s="298" t="s">
        <v>217</v>
      </c>
      <c r="C258" s="24">
        <v>71.78</v>
      </c>
      <c r="D258" s="235">
        <v>56260</v>
      </c>
      <c r="E258" s="234"/>
      <c r="F258" s="234"/>
      <c r="G258" s="76">
        <f t="shared" si="20"/>
        <v>2841629.69</v>
      </c>
      <c r="H258" s="299" t="s">
        <v>10</v>
      </c>
      <c r="I258" s="15" t="s">
        <v>116</v>
      </c>
      <c r="J258" s="15" t="s">
        <v>20</v>
      </c>
      <c r="K258" s="15"/>
      <c r="L258" s="416" t="s">
        <v>437</v>
      </c>
      <c r="M258" t="str">
        <f t="shared" si="19"/>
        <v/>
      </c>
      <c r="N258" t="str">
        <f t="shared" si="18"/>
        <v/>
      </c>
    </row>
    <row r="259" spans="1:14" ht="15" thickBot="1">
      <c r="A259" s="231">
        <v>46211</v>
      </c>
      <c r="B259" s="298" t="s">
        <v>31</v>
      </c>
      <c r="C259" s="24">
        <v>0.22</v>
      </c>
      <c r="D259" s="235">
        <v>168.78</v>
      </c>
      <c r="E259" s="234"/>
      <c r="F259" s="234"/>
      <c r="G259" s="76">
        <f t="shared" si="20"/>
        <v>2841460.91</v>
      </c>
      <c r="H259" s="299" t="s">
        <v>25</v>
      </c>
      <c r="I259" s="15" t="s">
        <v>116</v>
      </c>
      <c r="J259" s="15" t="s">
        <v>20</v>
      </c>
      <c r="K259" s="15"/>
      <c r="L259" s="416" t="s">
        <v>437</v>
      </c>
      <c r="M259" t="str">
        <f t="shared" si="19"/>
        <v/>
      </c>
      <c r="N259" t="str">
        <f t="shared" si="18"/>
        <v/>
      </c>
    </row>
    <row r="260" spans="1:14" ht="15" thickBot="1">
      <c r="A260" s="231">
        <v>46211</v>
      </c>
      <c r="B260" s="298" t="s">
        <v>218</v>
      </c>
      <c r="C260" s="24">
        <v>35.21</v>
      </c>
      <c r="D260" s="244">
        <v>27595.47</v>
      </c>
      <c r="E260" s="234"/>
      <c r="F260" s="234"/>
      <c r="G260" s="76">
        <f t="shared" si="20"/>
        <v>2813865.44</v>
      </c>
      <c r="H260" s="299" t="s">
        <v>10</v>
      </c>
      <c r="I260" s="15" t="s">
        <v>116</v>
      </c>
      <c r="J260" s="15" t="s">
        <v>269</v>
      </c>
      <c r="K260" s="15"/>
      <c r="L260" s="416" t="s">
        <v>437</v>
      </c>
      <c r="M260" t="str">
        <f t="shared" si="19"/>
        <v/>
      </c>
      <c r="N260" t="str">
        <f t="shared" ref="N260:N323" si="21">IF(C260="","",IF(C260=D260,"OJOOO",""))</f>
        <v/>
      </c>
    </row>
    <row r="261" spans="1:14" ht="15" thickBot="1">
      <c r="A261" s="231">
        <v>46211</v>
      </c>
      <c r="B261" s="298" t="s">
        <v>31</v>
      </c>
      <c r="C261" s="24">
        <v>0.11</v>
      </c>
      <c r="D261" s="235">
        <v>82.78</v>
      </c>
      <c r="E261" s="234"/>
      <c r="F261" s="234"/>
      <c r="G261" s="76">
        <f t="shared" si="20"/>
        <v>2813782.66</v>
      </c>
      <c r="H261" s="299" t="s">
        <v>25</v>
      </c>
      <c r="I261" s="15" t="s">
        <v>116</v>
      </c>
      <c r="J261" s="15" t="s">
        <v>269</v>
      </c>
      <c r="K261" s="15"/>
      <c r="L261" s="416" t="s">
        <v>437</v>
      </c>
      <c r="M261" t="str">
        <f t="shared" si="19"/>
        <v/>
      </c>
      <c r="N261" t="str">
        <f t="shared" si="21"/>
        <v/>
      </c>
    </row>
    <row r="262" spans="1:14" ht="15" thickBot="1">
      <c r="A262" s="231">
        <v>46211</v>
      </c>
      <c r="B262" s="308" t="s">
        <v>223</v>
      </c>
      <c r="C262" s="24">
        <v>42.18</v>
      </c>
      <c r="D262" s="235">
        <v>34228.54</v>
      </c>
      <c r="E262" s="234"/>
      <c r="F262" s="234"/>
      <c r="G262" s="76">
        <f>G261-D262</f>
        <v>2779554.12</v>
      </c>
      <c r="H262" s="336" t="s">
        <v>25</v>
      </c>
      <c r="I262" s="15" t="s">
        <v>116</v>
      </c>
      <c r="J262" s="15" t="s">
        <v>117</v>
      </c>
      <c r="K262" s="15"/>
      <c r="L262" s="416" t="s">
        <v>437</v>
      </c>
      <c r="M262" t="str">
        <f t="shared" si="19"/>
        <v/>
      </c>
      <c r="N262" t="str">
        <f t="shared" si="21"/>
        <v/>
      </c>
    </row>
    <row r="263" spans="1:14" ht="15" thickBot="1">
      <c r="A263" s="69">
        <v>46212</v>
      </c>
      <c r="B263" s="70" t="s">
        <v>219</v>
      </c>
      <c r="C263" s="72"/>
      <c r="D263" s="73"/>
      <c r="E263" s="70">
        <v>33.369999999999997</v>
      </c>
      <c r="F263" s="72">
        <v>27079.47</v>
      </c>
      <c r="G263" s="74">
        <f>G262+F263</f>
        <v>2806633.5900000003</v>
      </c>
      <c r="H263" s="75" t="s">
        <v>25</v>
      </c>
      <c r="I263" s="15" t="s">
        <v>127</v>
      </c>
      <c r="J263" s="519" t="s">
        <v>738</v>
      </c>
      <c r="K263" s="416" t="s">
        <v>127</v>
      </c>
      <c r="L263" s="15"/>
      <c r="M263" t="str">
        <f t="shared" si="19"/>
        <v/>
      </c>
      <c r="N263" t="str">
        <f t="shared" si="21"/>
        <v/>
      </c>
    </row>
    <row r="264" spans="1:14" ht="15" thickBot="1">
      <c r="A264" s="69">
        <v>46212</v>
      </c>
      <c r="B264" s="70" t="s">
        <v>188</v>
      </c>
      <c r="C264" s="72"/>
      <c r="D264" s="73"/>
      <c r="E264" s="70">
        <v>13.15</v>
      </c>
      <c r="F264" s="72">
        <v>10671.19</v>
      </c>
      <c r="G264" s="74">
        <f>G263+F264</f>
        <v>2817304.7800000003</v>
      </c>
      <c r="H264" s="75" t="s">
        <v>25</v>
      </c>
      <c r="I264" s="15" t="s">
        <v>127</v>
      </c>
      <c r="J264" s="519" t="s">
        <v>738</v>
      </c>
      <c r="K264" s="416" t="s">
        <v>127</v>
      </c>
      <c r="L264" s="15"/>
      <c r="M264" t="str">
        <f t="shared" si="19"/>
        <v/>
      </c>
      <c r="N264" t="str">
        <f t="shared" si="21"/>
        <v/>
      </c>
    </row>
    <row r="265" spans="1:14" ht="15" thickBot="1">
      <c r="A265" s="305">
        <v>46212</v>
      </c>
      <c r="B265" s="298" t="s">
        <v>169</v>
      </c>
      <c r="C265" s="246">
        <v>0.5</v>
      </c>
      <c r="D265" s="244">
        <v>406.19</v>
      </c>
      <c r="E265" s="236"/>
      <c r="F265" s="237"/>
      <c r="G265" s="245">
        <f>G264-D265</f>
        <v>2816898.5900000003</v>
      </c>
      <c r="H265" s="306" t="s">
        <v>25</v>
      </c>
      <c r="I265" s="15" t="s">
        <v>116</v>
      </c>
      <c r="J265" s="15" t="s">
        <v>117</v>
      </c>
      <c r="K265" s="15"/>
      <c r="L265" s="416" t="s">
        <v>437</v>
      </c>
      <c r="M265" t="str">
        <f t="shared" si="19"/>
        <v/>
      </c>
      <c r="N265" t="str">
        <f t="shared" si="21"/>
        <v/>
      </c>
    </row>
    <row r="266" spans="1:14" ht="15" thickBot="1">
      <c r="A266" s="305">
        <v>46212</v>
      </c>
      <c r="B266" s="298" t="s">
        <v>169</v>
      </c>
      <c r="C266" s="246">
        <v>0.2</v>
      </c>
      <c r="D266" s="244">
        <v>160.06</v>
      </c>
      <c r="E266" s="237"/>
      <c r="F266" s="237"/>
      <c r="G266" s="245">
        <f>G265-D266</f>
        <v>2816738.5300000003</v>
      </c>
      <c r="H266" s="306" t="s">
        <v>25</v>
      </c>
      <c r="I266" s="15" t="s">
        <v>116</v>
      </c>
      <c r="J266" s="15" t="s">
        <v>117</v>
      </c>
      <c r="K266" s="15"/>
      <c r="L266" s="416" t="s">
        <v>437</v>
      </c>
      <c r="M266" t="str">
        <f t="shared" si="19"/>
        <v/>
      </c>
      <c r="N266" t="str">
        <f t="shared" si="21"/>
        <v/>
      </c>
    </row>
    <row r="267" spans="1:14" ht="15" thickBot="1">
      <c r="A267" s="69">
        <v>46213</v>
      </c>
      <c r="B267" s="70" t="s">
        <v>212</v>
      </c>
      <c r="C267" s="72"/>
      <c r="D267" s="73"/>
      <c r="E267" s="70">
        <v>17.05</v>
      </c>
      <c r="F267" s="72">
        <v>13832.04</v>
      </c>
      <c r="G267" s="74">
        <f>G266+F267</f>
        <v>2830570.5700000003</v>
      </c>
      <c r="H267" s="75" t="s">
        <v>25</v>
      </c>
      <c r="I267" s="15" t="s">
        <v>127</v>
      </c>
      <c r="J267" s="519" t="s">
        <v>738</v>
      </c>
      <c r="K267" s="416" t="s">
        <v>127</v>
      </c>
      <c r="L267" s="15"/>
      <c r="M267" t="str">
        <f t="shared" si="19"/>
        <v/>
      </c>
      <c r="N267" t="str">
        <f t="shared" si="21"/>
        <v/>
      </c>
    </row>
    <row r="268" spans="1:14" ht="15" thickBot="1">
      <c r="A268" s="69">
        <v>46213</v>
      </c>
      <c r="B268" s="70" t="s">
        <v>220</v>
      </c>
      <c r="C268" s="72"/>
      <c r="D268" s="73"/>
      <c r="E268" s="70">
        <v>11.06</v>
      </c>
      <c r="F268" s="72">
        <v>9378.1</v>
      </c>
      <c r="G268" s="74">
        <f>G267+F268</f>
        <v>2839948.6700000004</v>
      </c>
      <c r="H268" s="75" t="s">
        <v>25</v>
      </c>
      <c r="I268" s="15" t="s">
        <v>127</v>
      </c>
      <c r="J268" s="519" t="s">
        <v>738</v>
      </c>
      <c r="K268" s="416" t="s">
        <v>127</v>
      </c>
      <c r="L268" s="15"/>
      <c r="M268" t="str">
        <f t="shared" si="19"/>
        <v/>
      </c>
      <c r="N268" t="str">
        <f t="shared" si="21"/>
        <v/>
      </c>
    </row>
    <row r="269" spans="1:14" ht="15" thickBot="1">
      <c r="A269" s="231">
        <v>46213</v>
      </c>
      <c r="B269" s="298" t="s">
        <v>169</v>
      </c>
      <c r="C269" s="24">
        <v>0.26</v>
      </c>
      <c r="D269" s="235">
        <v>207.48</v>
      </c>
      <c r="E269" s="234"/>
      <c r="F269" s="234"/>
      <c r="G269" s="76">
        <f>G268-D269</f>
        <v>2839741.1900000004</v>
      </c>
      <c r="H269" s="306" t="s">
        <v>25</v>
      </c>
      <c r="I269" s="15" t="s">
        <v>116</v>
      </c>
      <c r="J269" s="15" t="s">
        <v>117</v>
      </c>
      <c r="K269" s="416"/>
      <c r="L269" s="416" t="s">
        <v>437</v>
      </c>
      <c r="M269" t="str">
        <f t="shared" si="19"/>
        <v/>
      </c>
      <c r="N269" t="str">
        <f t="shared" si="21"/>
        <v/>
      </c>
    </row>
    <row r="270" spans="1:14" ht="15" thickBot="1">
      <c r="A270" s="231">
        <v>46213</v>
      </c>
      <c r="B270" s="298" t="s">
        <v>169</v>
      </c>
      <c r="C270" s="24">
        <v>0.17</v>
      </c>
      <c r="D270" s="235">
        <v>140.66999999999999</v>
      </c>
      <c r="E270" s="234"/>
      <c r="F270" s="234"/>
      <c r="G270" s="76">
        <f>G269-D270</f>
        <v>2839600.5200000005</v>
      </c>
      <c r="H270" s="306" t="s">
        <v>25</v>
      </c>
      <c r="I270" s="15" t="s">
        <v>116</v>
      </c>
      <c r="J270" s="15" t="s">
        <v>117</v>
      </c>
      <c r="K270" s="15"/>
      <c r="L270" s="416" t="s">
        <v>437</v>
      </c>
      <c r="M270" t="str">
        <f t="shared" si="19"/>
        <v/>
      </c>
      <c r="N270" t="str">
        <f t="shared" si="21"/>
        <v/>
      </c>
    </row>
    <row r="271" spans="1:14" ht="15" thickBot="1">
      <c r="A271" s="231">
        <v>46213</v>
      </c>
      <c r="B271" s="307" t="s">
        <v>221</v>
      </c>
      <c r="C271" s="24">
        <v>3.41</v>
      </c>
      <c r="D271" s="235">
        <v>2765.23</v>
      </c>
      <c r="E271" s="234"/>
      <c r="F271" s="234"/>
      <c r="G271" s="76">
        <f>G270-D271</f>
        <v>2836835.2900000005</v>
      </c>
      <c r="H271" s="306" t="s">
        <v>10</v>
      </c>
      <c r="I271" s="15" t="s">
        <v>266</v>
      </c>
      <c r="J271" s="15" t="s">
        <v>265</v>
      </c>
      <c r="K271" s="15"/>
      <c r="L271" s="416" t="s">
        <v>437</v>
      </c>
      <c r="M271" t="str">
        <f t="shared" si="19"/>
        <v/>
      </c>
      <c r="N271" t="str">
        <f t="shared" si="21"/>
        <v/>
      </c>
    </row>
    <row r="272" spans="1:14" ht="15" thickBot="1">
      <c r="A272" s="69">
        <v>46213</v>
      </c>
      <c r="B272" s="70" t="s">
        <v>110</v>
      </c>
      <c r="C272" s="72"/>
      <c r="D272" s="73"/>
      <c r="E272" s="70">
        <v>910.09</v>
      </c>
      <c r="F272" s="72">
        <v>645886.73</v>
      </c>
      <c r="G272" s="74">
        <f>G271+F272</f>
        <v>3482722.0200000005</v>
      </c>
      <c r="H272" s="75" t="s">
        <v>10</v>
      </c>
      <c r="I272" s="15" t="s">
        <v>127</v>
      </c>
      <c r="J272" s="519" t="s">
        <v>737</v>
      </c>
      <c r="K272" s="416" t="s">
        <v>127</v>
      </c>
      <c r="L272" s="15"/>
      <c r="M272" t="str">
        <f t="shared" si="19"/>
        <v/>
      </c>
      <c r="N272" t="str">
        <f t="shared" si="21"/>
        <v/>
      </c>
    </row>
    <row r="273" spans="1:14" ht="15" thickBot="1">
      <c r="A273" s="231">
        <v>46213</v>
      </c>
      <c r="B273" s="234" t="s">
        <v>222</v>
      </c>
      <c r="C273" s="24">
        <v>218.65</v>
      </c>
      <c r="D273" s="235">
        <v>177423.38</v>
      </c>
      <c r="E273" s="234"/>
      <c r="F273" s="234"/>
      <c r="G273" s="245">
        <f>G272-D273</f>
        <v>3305298.6400000006</v>
      </c>
      <c r="H273" s="311" t="s">
        <v>10</v>
      </c>
      <c r="I273" s="15" t="s">
        <v>119</v>
      </c>
      <c r="J273" s="416" t="s">
        <v>447</v>
      </c>
      <c r="K273" s="15"/>
      <c r="L273" s="416" t="s">
        <v>437</v>
      </c>
      <c r="M273" t="str">
        <f t="shared" si="19"/>
        <v/>
      </c>
      <c r="N273" t="str">
        <f t="shared" si="21"/>
        <v/>
      </c>
    </row>
    <row r="274" spans="1:14" ht="15" thickBot="1">
      <c r="A274" s="309">
        <v>46213</v>
      </c>
      <c r="B274" s="308" t="s">
        <v>31</v>
      </c>
      <c r="C274" s="310">
        <v>0.66</v>
      </c>
      <c r="D274" s="247">
        <v>532.27</v>
      </c>
      <c r="E274" s="237"/>
      <c r="F274" s="238"/>
      <c r="G274" s="245">
        <f>G273-D274</f>
        <v>3304766.3700000006</v>
      </c>
      <c r="H274" s="311" t="s">
        <v>25</v>
      </c>
      <c r="I274" s="15" t="s">
        <v>116</v>
      </c>
      <c r="J274" s="15" t="s">
        <v>117</v>
      </c>
      <c r="K274" s="15"/>
      <c r="L274" s="416" t="s">
        <v>437</v>
      </c>
      <c r="M274" t="str">
        <f t="shared" si="19"/>
        <v/>
      </c>
      <c r="N274" t="str">
        <f t="shared" si="21"/>
        <v/>
      </c>
    </row>
    <row r="275" spans="1:14" ht="15" thickBot="1">
      <c r="A275" s="231">
        <v>46213</v>
      </c>
      <c r="B275" s="234" t="s">
        <v>222</v>
      </c>
      <c r="C275" s="24">
        <v>218.65</v>
      </c>
      <c r="D275" s="235">
        <v>177423.38</v>
      </c>
      <c r="E275" s="234"/>
      <c r="F275" s="234"/>
      <c r="G275" s="76">
        <f>G274-D275</f>
        <v>3127342.9900000007</v>
      </c>
      <c r="H275" s="311" t="s">
        <v>10</v>
      </c>
      <c r="I275" s="15" t="s">
        <v>119</v>
      </c>
      <c r="J275" s="416" t="s">
        <v>447</v>
      </c>
      <c r="K275" s="15"/>
      <c r="L275" s="416" t="s">
        <v>437</v>
      </c>
      <c r="M275" t="str">
        <f t="shared" si="19"/>
        <v/>
      </c>
      <c r="N275" t="str">
        <f t="shared" si="21"/>
        <v/>
      </c>
    </row>
    <row r="276" spans="1:14" ht="15" thickBot="1">
      <c r="A276" s="231">
        <v>46213</v>
      </c>
      <c r="B276" s="308" t="s">
        <v>31</v>
      </c>
      <c r="C276" s="310">
        <v>0.66</v>
      </c>
      <c r="D276" s="24">
        <v>532.27</v>
      </c>
      <c r="E276" s="234"/>
      <c r="F276" s="234"/>
      <c r="G276" s="76">
        <f>G275-D276</f>
        <v>3126810.7200000007</v>
      </c>
      <c r="H276" s="311" t="s">
        <v>25</v>
      </c>
      <c r="I276" s="15" t="s">
        <v>116</v>
      </c>
      <c r="J276" s="15" t="s">
        <v>117</v>
      </c>
      <c r="K276" s="15"/>
      <c r="L276" s="416" t="s">
        <v>437</v>
      </c>
      <c r="M276" t="str">
        <f t="shared" ref="M276:M339" si="22">IF(E276="","",IF(E276=F276,"OJOOO",""))</f>
        <v/>
      </c>
      <c r="N276" t="str">
        <f t="shared" si="21"/>
        <v/>
      </c>
    </row>
    <row r="277" spans="1:14" ht="29.5" thickBot="1">
      <c r="A277" s="231">
        <v>46213</v>
      </c>
      <c r="B277" s="312" t="s">
        <v>224</v>
      </c>
      <c r="C277" s="24">
        <v>54.91</v>
      </c>
      <c r="D277" s="235">
        <v>44559.78</v>
      </c>
      <c r="E277" s="234"/>
      <c r="F277" s="234"/>
      <c r="G277" s="76">
        <f>G276-D277</f>
        <v>3082250.9400000009</v>
      </c>
      <c r="H277" s="311" t="s">
        <v>13</v>
      </c>
      <c r="I277" s="15" t="s">
        <v>116</v>
      </c>
      <c r="J277" s="15" t="s">
        <v>20</v>
      </c>
      <c r="K277" s="15"/>
      <c r="L277" s="416" t="s">
        <v>437</v>
      </c>
      <c r="M277" t="str">
        <f t="shared" si="22"/>
        <v/>
      </c>
      <c r="N277" t="str">
        <f t="shared" si="21"/>
        <v/>
      </c>
    </row>
    <row r="278" spans="1:14" ht="15" thickBot="1">
      <c r="A278" s="69">
        <v>46214</v>
      </c>
      <c r="B278" s="70" t="s">
        <v>219</v>
      </c>
      <c r="C278" s="72"/>
      <c r="D278" s="71"/>
      <c r="E278" s="72">
        <v>8.52</v>
      </c>
      <c r="F278" s="73">
        <v>7020.3</v>
      </c>
      <c r="G278" s="74">
        <f>G277+F278</f>
        <v>3089271.2400000007</v>
      </c>
      <c r="H278" s="75" t="s">
        <v>13</v>
      </c>
      <c r="I278" s="15" t="s">
        <v>127</v>
      </c>
      <c r="J278" s="519" t="s">
        <v>738</v>
      </c>
      <c r="K278" s="416" t="s">
        <v>127</v>
      </c>
      <c r="L278" s="15"/>
      <c r="M278" t="str">
        <f t="shared" si="22"/>
        <v/>
      </c>
      <c r="N278" t="str">
        <f t="shared" si="21"/>
        <v/>
      </c>
    </row>
    <row r="279" spans="1:14" ht="15" thickBot="1">
      <c r="A279" s="69">
        <v>46214</v>
      </c>
      <c r="B279" s="70" t="s">
        <v>225</v>
      </c>
      <c r="C279" s="72"/>
      <c r="D279" s="73"/>
      <c r="E279" s="70">
        <v>5.79</v>
      </c>
      <c r="F279" s="72">
        <v>4771.33</v>
      </c>
      <c r="G279" s="74">
        <f>G278+F279</f>
        <v>3094042.5700000008</v>
      </c>
      <c r="H279" s="75" t="s">
        <v>13</v>
      </c>
      <c r="I279" s="15" t="s">
        <v>127</v>
      </c>
      <c r="J279" s="519" t="s">
        <v>738</v>
      </c>
      <c r="K279" s="416" t="s">
        <v>127</v>
      </c>
      <c r="L279" s="15"/>
      <c r="M279" t="str">
        <f t="shared" si="22"/>
        <v/>
      </c>
      <c r="N279" t="str">
        <f t="shared" si="21"/>
        <v/>
      </c>
    </row>
    <row r="280" spans="1:14" ht="15" thickBot="1">
      <c r="A280" s="82">
        <v>46214</v>
      </c>
      <c r="B280" s="298" t="s">
        <v>169</v>
      </c>
      <c r="C280" s="246">
        <v>0.13</v>
      </c>
      <c r="D280" s="244">
        <v>105.3</v>
      </c>
      <c r="E280" s="236"/>
      <c r="F280" s="237"/>
      <c r="G280" s="245">
        <f>G279-D280</f>
        <v>3093937.2700000009</v>
      </c>
      <c r="H280" s="317" t="s">
        <v>13</v>
      </c>
      <c r="I280" s="15" t="s">
        <v>116</v>
      </c>
      <c r="J280" s="15" t="s">
        <v>117</v>
      </c>
      <c r="K280" s="15"/>
      <c r="L280" s="416" t="s">
        <v>437</v>
      </c>
      <c r="M280" t="str">
        <f t="shared" si="22"/>
        <v/>
      </c>
      <c r="N280" t="str">
        <f t="shared" si="21"/>
        <v/>
      </c>
    </row>
    <row r="281" spans="1:14" ht="15" thickBot="1">
      <c r="A281" s="315">
        <v>46214</v>
      </c>
      <c r="B281" s="298" t="s">
        <v>169</v>
      </c>
      <c r="C281" s="246">
        <v>0.09</v>
      </c>
      <c r="D281" s="244">
        <v>71.56</v>
      </c>
      <c r="E281" s="236"/>
      <c r="F281" s="237"/>
      <c r="G281" s="245">
        <f>G280-D281</f>
        <v>3093865.7100000009</v>
      </c>
      <c r="H281" s="317" t="s">
        <v>13</v>
      </c>
      <c r="I281" s="15" t="s">
        <v>116</v>
      </c>
      <c r="J281" s="15" t="s">
        <v>117</v>
      </c>
      <c r="K281" s="15"/>
      <c r="L281" s="416" t="s">
        <v>437</v>
      </c>
      <c r="M281" t="str">
        <f t="shared" si="22"/>
        <v/>
      </c>
      <c r="N281" t="str">
        <f t="shared" si="21"/>
        <v/>
      </c>
    </row>
    <row r="282" spans="1:14" ht="15" thickBot="1">
      <c r="A282" s="69">
        <v>46215</v>
      </c>
      <c r="B282" s="70" t="s">
        <v>226</v>
      </c>
      <c r="C282" s="72"/>
      <c r="D282" s="73"/>
      <c r="E282" s="70">
        <v>29.32</v>
      </c>
      <c r="F282" s="72">
        <v>24157.93</v>
      </c>
      <c r="G282" s="74">
        <f>G281+F282</f>
        <v>3118023.6400000011</v>
      </c>
      <c r="H282" s="75" t="s">
        <v>13</v>
      </c>
      <c r="I282" s="15" t="s">
        <v>127</v>
      </c>
      <c r="J282" s="519" t="s">
        <v>738</v>
      </c>
      <c r="K282" s="416" t="s">
        <v>127</v>
      </c>
      <c r="L282" s="15"/>
      <c r="M282" t="str">
        <f t="shared" si="22"/>
        <v/>
      </c>
      <c r="N282" t="str">
        <f t="shared" si="21"/>
        <v/>
      </c>
    </row>
    <row r="283" spans="1:14" ht="15" thickBot="1">
      <c r="A283" s="69">
        <v>46215</v>
      </c>
      <c r="B283" s="70" t="s">
        <v>220</v>
      </c>
      <c r="C283" s="72"/>
      <c r="D283" s="73"/>
      <c r="E283" s="70">
        <v>11.72</v>
      </c>
      <c r="F283" s="72">
        <v>9660.18</v>
      </c>
      <c r="G283" s="74">
        <f>G282+F283</f>
        <v>3127683.8200000012</v>
      </c>
      <c r="H283" s="75" t="s">
        <v>13</v>
      </c>
      <c r="I283" s="15" t="s">
        <v>127</v>
      </c>
      <c r="J283" s="519" t="s">
        <v>738</v>
      </c>
      <c r="K283" s="416" t="s">
        <v>127</v>
      </c>
      <c r="L283" s="15"/>
      <c r="M283" t="str">
        <f t="shared" si="22"/>
        <v/>
      </c>
      <c r="N283" t="str">
        <f t="shared" si="21"/>
        <v/>
      </c>
    </row>
    <row r="284" spans="1:14" ht="15" thickBot="1">
      <c r="A284" s="315">
        <v>46215</v>
      </c>
      <c r="B284" s="298" t="s">
        <v>169</v>
      </c>
      <c r="C284" s="246">
        <v>0.18</v>
      </c>
      <c r="D284" s="244">
        <v>144.9</v>
      </c>
      <c r="E284" s="236"/>
      <c r="F284" s="237"/>
      <c r="G284" s="240">
        <f>G283-D284</f>
        <v>3127538.9200000013</v>
      </c>
      <c r="H284" s="317" t="s">
        <v>13</v>
      </c>
      <c r="I284" s="15" t="s">
        <v>116</v>
      </c>
      <c r="J284" s="15" t="s">
        <v>117</v>
      </c>
      <c r="K284" s="15"/>
      <c r="L284" s="416" t="s">
        <v>437</v>
      </c>
      <c r="M284" t="str">
        <f t="shared" si="22"/>
        <v/>
      </c>
      <c r="N284" t="str">
        <f t="shared" si="21"/>
        <v/>
      </c>
    </row>
    <row r="285" spans="1:14" ht="15" thickBot="1">
      <c r="A285" s="315">
        <v>46215</v>
      </c>
      <c r="B285" s="298" t="s">
        <v>169</v>
      </c>
      <c r="C285" s="246">
        <v>0.44</v>
      </c>
      <c r="D285" s="244">
        <v>362.36</v>
      </c>
      <c r="E285" s="236"/>
      <c r="F285" s="237"/>
      <c r="G285" s="240">
        <f>G284-D285</f>
        <v>3127176.5600000015</v>
      </c>
      <c r="H285" s="317" t="s">
        <v>13</v>
      </c>
      <c r="I285" s="15" t="s">
        <v>116</v>
      </c>
      <c r="J285" s="15" t="s">
        <v>117</v>
      </c>
      <c r="K285" s="15"/>
      <c r="L285" s="416" t="s">
        <v>437</v>
      </c>
      <c r="M285" t="str">
        <f t="shared" si="22"/>
        <v/>
      </c>
      <c r="N285" t="str">
        <f t="shared" si="21"/>
        <v/>
      </c>
    </row>
    <row r="286" spans="1:14" ht="15" thickBot="1">
      <c r="A286" s="69">
        <v>46216</v>
      </c>
      <c r="B286" s="70" t="s">
        <v>225</v>
      </c>
      <c r="C286" s="72"/>
      <c r="D286" s="73"/>
      <c r="E286" s="70">
        <v>11.76</v>
      </c>
      <c r="F286" s="72">
        <v>9689.58</v>
      </c>
      <c r="G286" s="74">
        <f>G285+F286</f>
        <v>3136866.1400000015</v>
      </c>
      <c r="H286" s="75" t="s">
        <v>13</v>
      </c>
      <c r="I286" s="15" t="s">
        <v>127</v>
      </c>
      <c r="J286" s="519" t="s">
        <v>738</v>
      </c>
      <c r="K286" s="416" t="s">
        <v>127</v>
      </c>
      <c r="L286" s="15"/>
      <c r="M286" t="str">
        <f t="shared" si="22"/>
        <v/>
      </c>
      <c r="N286" t="str">
        <f t="shared" si="21"/>
        <v/>
      </c>
    </row>
    <row r="287" spans="1:14" ht="15" thickBot="1">
      <c r="A287" s="69">
        <v>46216</v>
      </c>
      <c r="B287" s="70" t="s">
        <v>227</v>
      </c>
      <c r="C287" s="72"/>
      <c r="D287" s="73"/>
      <c r="E287" s="70">
        <v>8.82</v>
      </c>
      <c r="F287" s="72">
        <v>7267.19</v>
      </c>
      <c r="G287" s="74">
        <f>G286+F287</f>
        <v>3144133.3300000015</v>
      </c>
      <c r="H287" s="75" t="s">
        <v>13</v>
      </c>
      <c r="I287" s="15" t="s">
        <v>127</v>
      </c>
      <c r="J287" s="519" t="s">
        <v>738</v>
      </c>
      <c r="K287" s="416" t="s">
        <v>127</v>
      </c>
      <c r="L287" s="15"/>
      <c r="M287" t="str">
        <f t="shared" si="22"/>
        <v/>
      </c>
      <c r="N287" t="str">
        <f t="shared" si="21"/>
        <v/>
      </c>
    </row>
    <row r="288" spans="1:14" ht="15" thickBot="1">
      <c r="A288" s="315">
        <v>46216</v>
      </c>
      <c r="B288" s="298" t="s">
        <v>169</v>
      </c>
      <c r="C288" s="246">
        <v>0.18</v>
      </c>
      <c r="D288" s="244">
        <v>145.34</v>
      </c>
      <c r="E288" s="236"/>
      <c r="F288" s="237"/>
      <c r="G288" s="245">
        <f>G287-D288</f>
        <v>3143987.9900000016</v>
      </c>
      <c r="H288" s="336" t="s">
        <v>13</v>
      </c>
      <c r="I288" s="15" t="s">
        <v>116</v>
      </c>
      <c r="J288" s="15" t="s">
        <v>117</v>
      </c>
      <c r="K288" s="15"/>
      <c r="L288" s="416" t="s">
        <v>437</v>
      </c>
      <c r="M288" t="str">
        <f t="shared" si="22"/>
        <v/>
      </c>
      <c r="N288" t="str">
        <f t="shared" si="21"/>
        <v/>
      </c>
    </row>
    <row r="289" spans="1:14" ht="15" thickBot="1">
      <c r="A289" s="315">
        <v>46216</v>
      </c>
      <c r="B289" s="298" t="s">
        <v>169</v>
      </c>
      <c r="C289" s="246">
        <v>0.13</v>
      </c>
      <c r="D289" s="244">
        <v>109</v>
      </c>
      <c r="E289" s="234"/>
      <c r="F289" s="234"/>
      <c r="G289" s="245">
        <f>G288-D289</f>
        <v>3143878.9900000016</v>
      </c>
      <c r="H289" s="317" t="s">
        <v>13</v>
      </c>
      <c r="I289" s="15" t="s">
        <v>116</v>
      </c>
      <c r="J289" s="15" t="s">
        <v>117</v>
      </c>
      <c r="K289" s="15"/>
      <c r="L289" s="416" t="s">
        <v>437</v>
      </c>
      <c r="M289" t="str">
        <f t="shared" si="22"/>
        <v/>
      </c>
      <c r="N289" t="str">
        <f t="shared" si="21"/>
        <v/>
      </c>
    </row>
    <row r="290" spans="1:14" ht="15" thickBot="1">
      <c r="A290" s="231">
        <v>46216</v>
      </c>
      <c r="B290" s="316" t="s">
        <v>228</v>
      </c>
      <c r="C290" s="24">
        <v>14.83</v>
      </c>
      <c r="D290" s="235">
        <v>12220.43</v>
      </c>
      <c r="E290" s="234"/>
      <c r="F290" s="234"/>
      <c r="G290" s="76">
        <f>G289-D290</f>
        <v>3131658.5600000015</v>
      </c>
      <c r="H290" s="317" t="s">
        <v>13</v>
      </c>
      <c r="I290" s="332" t="s">
        <v>116</v>
      </c>
      <c r="J290" s="332" t="s">
        <v>269</v>
      </c>
      <c r="K290" s="15"/>
      <c r="L290" s="416" t="s">
        <v>437</v>
      </c>
      <c r="M290" t="str">
        <f t="shared" si="22"/>
        <v/>
      </c>
      <c r="N290" t="str">
        <f t="shared" si="21"/>
        <v/>
      </c>
    </row>
    <row r="291" spans="1:14" ht="15" thickBot="1">
      <c r="A291" s="231">
        <v>46216</v>
      </c>
      <c r="B291" s="316" t="s">
        <v>229</v>
      </c>
      <c r="C291" s="24">
        <v>25.39</v>
      </c>
      <c r="D291" s="235">
        <v>20920</v>
      </c>
      <c r="E291" s="234"/>
      <c r="F291" s="234"/>
      <c r="G291" s="76">
        <f>G290-D291</f>
        <v>3110738.5600000015</v>
      </c>
      <c r="H291" s="317" t="s">
        <v>13</v>
      </c>
      <c r="I291" s="332" t="s">
        <v>116</v>
      </c>
      <c r="J291" s="332" t="s">
        <v>269</v>
      </c>
      <c r="K291" s="15"/>
      <c r="L291" s="416" t="s">
        <v>437</v>
      </c>
      <c r="M291" t="str">
        <f t="shared" si="22"/>
        <v/>
      </c>
      <c r="N291" t="str">
        <f t="shared" si="21"/>
        <v/>
      </c>
    </row>
    <row r="292" spans="1:14" ht="15" thickBot="1">
      <c r="A292" s="69">
        <v>46217</v>
      </c>
      <c r="B292" s="70" t="s">
        <v>110</v>
      </c>
      <c r="C292" s="72"/>
      <c r="D292" s="73"/>
      <c r="E292" s="381">
        <v>5739.08</v>
      </c>
      <c r="F292" s="72">
        <v>4737592.6100000003</v>
      </c>
      <c r="G292" s="74">
        <f>G291+F292</f>
        <v>7848331.1700000018</v>
      </c>
      <c r="H292" s="75" t="s">
        <v>10</v>
      </c>
      <c r="I292" s="332" t="s">
        <v>127</v>
      </c>
      <c r="J292" s="519" t="s">
        <v>737</v>
      </c>
      <c r="K292" s="416" t="s">
        <v>127</v>
      </c>
      <c r="L292" s="15"/>
      <c r="M292" t="str">
        <f t="shared" si="22"/>
        <v/>
      </c>
      <c r="N292" t="str">
        <f t="shared" si="21"/>
        <v/>
      </c>
    </row>
    <row r="293" spans="1:14" ht="15" thickBot="1">
      <c r="A293" s="231">
        <v>46217</v>
      </c>
      <c r="B293" s="318" t="s">
        <v>230</v>
      </c>
      <c r="C293" s="24">
        <v>18.420000000000002</v>
      </c>
      <c r="D293" s="235">
        <v>15204</v>
      </c>
      <c r="E293" s="234"/>
      <c r="F293" s="234"/>
      <c r="G293" s="76">
        <f>G292-D293</f>
        <v>7833127.1700000018</v>
      </c>
      <c r="H293" s="319" t="s">
        <v>13</v>
      </c>
      <c r="I293" s="332" t="s">
        <v>116</v>
      </c>
      <c r="J293" s="332" t="s">
        <v>20</v>
      </c>
      <c r="K293" s="15"/>
      <c r="L293" s="416" t="s">
        <v>437</v>
      </c>
      <c r="M293" t="str">
        <f t="shared" si="22"/>
        <v/>
      </c>
      <c r="N293" t="str">
        <f t="shared" si="21"/>
        <v/>
      </c>
    </row>
    <row r="294" spans="1:14" ht="15" thickBot="1">
      <c r="A294" s="231">
        <v>46217</v>
      </c>
      <c r="B294" s="318" t="s">
        <v>231</v>
      </c>
      <c r="C294" s="24">
        <v>3.51</v>
      </c>
      <c r="D294" s="235">
        <v>2896</v>
      </c>
      <c r="E294" s="234"/>
      <c r="F294" s="234"/>
      <c r="G294" s="76">
        <f>G293-D294</f>
        <v>7830231.1700000018</v>
      </c>
      <c r="H294" s="319" t="s">
        <v>13</v>
      </c>
      <c r="I294" s="332" t="s">
        <v>116</v>
      </c>
      <c r="J294" s="332" t="s">
        <v>269</v>
      </c>
      <c r="K294" s="15"/>
      <c r="L294" s="416" t="s">
        <v>437</v>
      </c>
      <c r="M294" t="str">
        <f t="shared" si="22"/>
        <v/>
      </c>
      <c r="N294" t="str">
        <f t="shared" si="21"/>
        <v/>
      </c>
    </row>
    <row r="295" spans="1:14" ht="15" thickBot="1">
      <c r="A295" s="69">
        <v>46218</v>
      </c>
      <c r="B295" s="70" t="s">
        <v>232</v>
      </c>
      <c r="C295" s="72"/>
      <c r="D295" s="70"/>
      <c r="E295" s="73">
        <v>59.63</v>
      </c>
      <c r="F295" s="72">
        <v>43680.33</v>
      </c>
      <c r="G295" s="74">
        <f>G294+F295</f>
        <v>7873911.5000000019</v>
      </c>
      <c r="H295" s="75" t="s">
        <v>13</v>
      </c>
      <c r="I295" s="15" t="s">
        <v>127</v>
      </c>
      <c r="J295" s="519" t="s">
        <v>738</v>
      </c>
      <c r="K295" s="416" t="s">
        <v>127</v>
      </c>
      <c r="L295" s="15"/>
      <c r="M295" t="str">
        <f t="shared" si="22"/>
        <v/>
      </c>
      <c r="N295" t="str">
        <f t="shared" si="21"/>
        <v/>
      </c>
    </row>
    <row r="296" spans="1:14" ht="15" thickBot="1">
      <c r="A296" s="69">
        <v>46218</v>
      </c>
      <c r="B296" s="70" t="s">
        <v>234</v>
      </c>
      <c r="C296" s="72"/>
      <c r="D296" s="70"/>
      <c r="E296" s="73">
        <v>33.07</v>
      </c>
      <c r="F296" s="72">
        <v>24223.94</v>
      </c>
      <c r="G296" s="74">
        <f>G295+F296</f>
        <v>7898135.4400000023</v>
      </c>
      <c r="H296" s="75" t="s">
        <v>13</v>
      </c>
      <c r="I296" s="15" t="s">
        <v>127</v>
      </c>
      <c r="J296" s="519" t="s">
        <v>738</v>
      </c>
      <c r="K296" s="416" t="s">
        <v>127</v>
      </c>
      <c r="L296" s="15"/>
      <c r="M296" t="str">
        <f t="shared" si="22"/>
        <v/>
      </c>
      <c r="N296" t="str">
        <f t="shared" si="21"/>
        <v/>
      </c>
    </row>
    <row r="297" spans="1:14" ht="15" thickBot="1">
      <c r="A297" s="69">
        <v>46218</v>
      </c>
      <c r="B297" s="70" t="s">
        <v>227</v>
      </c>
      <c r="C297" s="72"/>
      <c r="D297" s="73"/>
      <c r="E297" s="70">
        <v>22.93</v>
      </c>
      <c r="F297" s="72">
        <v>16795.28</v>
      </c>
      <c r="G297" s="74">
        <f>G296+F297</f>
        <v>7914930.7200000025</v>
      </c>
      <c r="H297" s="75" t="s">
        <v>13</v>
      </c>
      <c r="I297" s="15" t="s">
        <v>127</v>
      </c>
      <c r="J297" s="519" t="s">
        <v>738</v>
      </c>
      <c r="K297" s="416" t="s">
        <v>127</v>
      </c>
      <c r="L297" s="15"/>
      <c r="M297" t="str">
        <f t="shared" si="22"/>
        <v/>
      </c>
      <c r="N297" t="str">
        <f t="shared" si="21"/>
        <v/>
      </c>
    </row>
    <row r="298" spans="1:14" ht="15" thickBot="1">
      <c r="A298" s="69">
        <v>46218</v>
      </c>
      <c r="B298" s="70" t="s">
        <v>226</v>
      </c>
      <c r="C298" s="72"/>
      <c r="D298" s="73"/>
      <c r="E298" s="70">
        <v>19.84</v>
      </c>
      <c r="F298" s="72">
        <v>14534.37</v>
      </c>
      <c r="G298" s="74">
        <f>G297+F298</f>
        <v>7929465.0900000026</v>
      </c>
      <c r="H298" s="75" t="s">
        <v>13</v>
      </c>
      <c r="I298" s="15" t="s">
        <v>127</v>
      </c>
      <c r="J298" s="519" t="s">
        <v>738</v>
      </c>
      <c r="K298" s="416" t="s">
        <v>127</v>
      </c>
      <c r="L298" s="15"/>
      <c r="M298" t="str">
        <f t="shared" si="22"/>
        <v/>
      </c>
      <c r="N298" t="str">
        <f t="shared" si="21"/>
        <v/>
      </c>
    </row>
    <row r="299" spans="1:14" ht="15" thickBot="1">
      <c r="A299" s="10">
        <v>46218</v>
      </c>
      <c r="B299" s="298" t="s">
        <v>169</v>
      </c>
      <c r="C299" s="19">
        <v>0.89</v>
      </c>
      <c r="D299" s="30">
        <v>655.20000000000005</v>
      </c>
      <c r="E299" s="15"/>
      <c r="F299" s="15"/>
      <c r="G299" s="33">
        <f t="shared" ref="G299:G313" si="23">G298-D299</f>
        <v>7928809.8900000025</v>
      </c>
      <c r="H299" s="321" t="s">
        <v>13</v>
      </c>
      <c r="I299" s="15" t="s">
        <v>116</v>
      </c>
      <c r="J299" s="15" t="s">
        <v>117</v>
      </c>
      <c r="K299" s="15"/>
      <c r="L299" s="416" t="s">
        <v>437</v>
      </c>
      <c r="M299" t="str">
        <f t="shared" si="22"/>
        <v/>
      </c>
      <c r="N299" t="str">
        <f t="shared" si="21"/>
        <v/>
      </c>
    </row>
    <row r="300" spans="1:14" ht="15" thickBot="1">
      <c r="A300" s="320">
        <v>46218</v>
      </c>
      <c r="B300" s="298" t="s">
        <v>169</v>
      </c>
      <c r="C300" s="19">
        <v>0.5</v>
      </c>
      <c r="D300" s="30">
        <v>363.35</v>
      </c>
      <c r="E300" s="15"/>
      <c r="F300" s="15"/>
      <c r="G300" s="33">
        <f t="shared" si="23"/>
        <v>7928446.5400000028</v>
      </c>
      <c r="H300" s="321" t="s">
        <v>13</v>
      </c>
      <c r="I300" s="15" t="s">
        <v>116</v>
      </c>
      <c r="J300" s="15" t="s">
        <v>117</v>
      </c>
      <c r="K300" s="15"/>
      <c r="L300" s="416" t="s">
        <v>437</v>
      </c>
      <c r="M300" t="str">
        <f t="shared" si="22"/>
        <v/>
      </c>
      <c r="N300" t="str">
        <f t="shared" si="21"/>
        <v/>
      </c>
    </row>
    <row r="301" spans="1:14" ht="15" thickBot="1">
      <c r="A301" s="10">
        <v>46218</v>
      </c>
      <c r="B301" s="298" t="s">
        <v>169</v>
      </c>
      <c r="C301" s="19">
        <v>0.34</v>
      </c>
      <c r="D301" s="30">
        <v>251.92</v>
      </c>
      <c r="E301" s="15"/>
      <c r="F301" s="15"/>
      <c r="G301" s="33">
        <f t="shared" si="23"/>
        <v>7928194.6200000029</v>
      </c>
      <c r="H301" s="321" t="s">
        <v>13</v>
      </c>
      <c r="I301" s="15" t="s">
        <v>116</v>
      </c>
      <c r="J301" s="15" t="s">
        <v>117</v>
      </c>
      <c r="K301" s="15"/>
      <c r="L301" s="416" t="s">
        <v>437</v>
      </c>
      <c r="M301" t="str">
        <f t="shared" si="22"/>
        <v/>
      </c>
      <c r="N301" t="str">
        <f t="shared" si="21"/>
        <v/>
      </c>
    </row>
    <row r="302" spans="1:14" ht="15" thickBot="1">
      <c r="A302" s="10">
        <v>46218</v>
      </c>
      <c r="B302" s="298" t="s">
        <v>169</v>
      </c>
      <c r="C302" s="19">
        <v>0.3</v>
      </c>
      <c r="D302" s="30">
        <v>218.01</v>
      </c>
      <c r="E302" s="15"/>
      <c r="F302" s="15"/>
      <c r="G302" s="33">
        <f t="shared" si="23"/>
        <v>7927976.6100000031</v>
      </c>
      <c r="H302" s="321" t="s">
        <v>13</v>
      </c>
      <c r="I302" s="15" t="s">
        <v>116</v>
      </c>
      <c r="J302" s="15" t="s">
        <v>117</v>
      </c>
      <c r="K302" s="15"/>
      <c r="L302" s="416" t="s">
        <v>437</v>
      </c>
      <c r="M302" t="str">
        <f t="shared" si="22"/>
        <v/>
      </c>
      <c r="N302" t="str">
        <f t="shared" si="21"/>
        <v/>
      </c>
    </row>
    <row r="303" spans="1:14" ht="15" thickBot="1">
      <c r="A303" s="10">
        <v>46218</v>
      </c>
      <c r="B303" s="322" t="s">
        <v>235</v>
      </c>
      <c r="C303" s="19">
        <v>287.08</v>
      </c>
      <c r="D303" s="30">
        <v>240593.4</v>
      </c>
      <c r="E303" s="15"/>
      <c r="F303" s="15"/>
      <c r="G303" s="33">
        <f t="shared" si="23"/>
        <v>7687383.2100000028</v>
      </c>
      <c r="H303" s="321" t="s">
        <v>13</v>
      </c>
      <c r="I303" s="332" t="s">
        <v>116</v>
      </c>
      <c r="J303" s="332" t="s">
        <v>118</v>
      </c>
      <c r="K303" s="15"/>
      <c r="L303" s="416" t="s">
        <v>437</v>
      </c>
      <c r="M303" t="str">
        <f t="shared" si="22"/>
        <v/>
      </c>
      <c r="N303" t="str">
        <f t="shared" si="21"/>
        <v/>
      </c>
    </row>
    <row r="304" spans="1:14" ht="15" thickBot="1">
      <c r="A304" s="10">
        <v>46218</v>
      </c>
      <c r="B304" s="322" t="s">
        <v>236</v>
      </c>
      <c r="C304" s="19">
        <v>1223.22</v>
      </c>
      <c r="D304" s="30">
        <v>1025141.67</v>
      </c>
      <c r="E304" s="15"/>
      <c r="F304" s="15"/>
      <c r="G304" s="33">
        <f t="shared" si="23"/>
        <v>6662241.5400000028</v>
      </c>
      <c r="H304" s="321" t="s">
        <v>10</v>
      </c>
      <c r="I304" s="332" t="s">
        <v>119</v>
      </c>
      <c r="J304" s="332" t="s">
        <v>121</v>
      </c>
      <c r="K304" s="15"/>
      <c r="L304" s="416" t="s">
        <v>437</v>
      </c>
      <c r="M304" t="str">
        <f t="shared" si="22"/>
        <v/>
      </c>
      <c r="N304" t="str">
        <f t="shared" si="21"/>
        <v/>
      </c>
    </row>
    <row r="305" spans="1:14" ht="15" thickBot="1">
      <c r="A305" s="10">
        <v>46218</v>
      </c>
      <c r="B305" s="322" t="s">
        <v>31</v>
      </c>
      <c r="C305" s="19">
        <v>3.67</v>
      </c>
      <c r="D305" s="30">
        <v>3075.42</v>
      </c>
      <c r="E305" s="15"/>
      <c r="F305" s="15"/>
      <c r="G305" s="33">
        <f t="shared" si="23"/>
        <v>6659166.1200000029</v>
      </c>
      <c r="H305" s="321" t="s">
        <v>25</v>
      </c>
      <c r="I305" s="332" t="s">
        <v>119</v>
      </c>
      <c r="J305" s="332" t="s">
        <v>121</v>
      </c>
      <c r="K305" s="15"/>
      <c r="L305" s="416" t="s">
        <v>437</v>
      </c>
      <c r="M305" t="str">
        <f t="shared" si="22"/>
        <v/>
      </c>
      <c r="N305" t="str">
        <f t="shared" si="21"/>
        <v/>
      </c>
    </row>
    <row r="306" spans="1:14" ht="15" thickBot="1">
      <c r="A306" s="10">
        <v>46218</v>
      </c>
      <c r="B306" s="322" t="s">
        <v>237</v>
      </c>
      <c r="C306" s="19">
        <v>1223.22</v>
      </c>
      <c r="D306" s="30">
        <v>1025141.67</v>
      </c>
      <c r="E306" s="15"/>
      <c r="F306" s="15"/>
      <c r="G306" s="33">
        <f t="shared" si="23"/>
        <v>5634024.450000003</v>
      </c>
      <c r="H306" s="321" t="s">
        <v>10</v>
      </c>
      <c r="I306" s="332" t="s">
        <v>119</v>
      </c>
      <c r="J306" s="332" t="s">
        <v>121</v>
      </c>
      <c r="K306" s="15"/>
      <c r="L306" s="416" t="s">
        <v>437</v>
      </c>
      <c r="M306" t="str">
        <f t="shared" si="22"/>
        <v/>
      </c>
      <c r="N306" t="str">
        <f t="shared" si="21"/>
        <v/>
      </c>
    </row>
    <row r="307" spans="1:14" ht="15" thickBot="1">
      <c r="A307" s="10">
        <v>46218</v>
      </c>
      <c r="B307" s="322" t="s">
        <v>31</v>
      </c>
      <c r="C307" s="19">
        <v>3.67</v>
      </c>
      <c r="D307" s="30">
        <v>3075.42</v>
      </c>
      <c r="E307" s="15"/>
      <c r="F307" s="15"/>
      <c r="G307" s="33">
        <f t="shared" si="23"/>
        <v>5630949.0300000031</v>
      </c>
      <c r="H307" s="321" t="s">
        <v>25</v>
      </c>
      <c r="I307" s="332" t="s">
        <v>119</v>
      </c>
      <c r="J307" s="332" t="s">
        <v>121</v>
      </c>
      <c r="K307" s="15"/>
      <c r="L307" s="416" t="s">
        <v>437</v>
      </c>
      <c r="M307" t="str">
        <f t="shared" si="22"/>
        <v/>
      </c>
      <c r="N307" t="str">
        <f t="shared" si="21"/>
        <v/>
      </c>
    </row>
    <row r="308" spans="1:14" ht="15" thickBot="1">
      <c r="A308" s="10">
        <v>46218</v>
      </c>
      <c r="B308" s="322" t="s">
        <v>238</v>
      </c>
      <c r="C308" s="19">
        <v>140.68</v>
      </c>
      <c r="D308" s="30">
        <v>117902.39999999999</v>
      </c>
      <c r="E308" s="15"/>
      <c r="F308" s="15"/>
      <c r="G308" s="33">
        <f t="shared" si="23"/>
        <v>5513046.6300000027</v>
      </c>
      <c r="H308" s="321" t="s">
        <v>10</v>
      </c>
      <c r="I308" s="332" t="s">
        <v>116</v>
      </c>
      <c r="J308" s="332" t="s">
        <v>20</v>
      </c>
      <c r="K308" s="15"/>
      <c r="L308" s="416" t="s">
        <v>437</v>
      </c>
      <c r="M308" t="str">
        <f t="shared" si="22"/>
        <v/>
      </c>
      <c r="N308" t="str">
        <f t="shared" si="21"/>
        <v/>
      </c>
    </row>
    <row r="309" spans="1:14" ht="15" thickBot="1">
      <c r="A309" s="10">
        <v>46218</v>
      </c>
      <c r="B309" s="322" t="s">
        <v>31</v>
      </c>
      <c r="C309" s="19">
        <v>0.42</v>
      </c>
      <c r="D309" s="30">
        <v>353.7</v>
      </c>
      <c r="E309" s="15"/>
      <c r="F309" s="15"/>
      <c r="G309" s="33">
        <f t="shared" si="23"/>
        <v>5512692.9300000025</v>
      </c>
      <c r="H309" s="321" t="s">
        <v>25</v>
      </c>
      <c r="I309" s="332" t="s">
        <v>116</v>
      </c>
      <c r="J309" s="332" t="s">
        <v>20</v>
      </c>
      <c r="K309" s="15"/>
      <c r="L309" s="416" t="s">
        <v>437</v>
      </c>
      <c r="M309" t="str">
        <f t="shared" si="22"/>
        <v/>
      </c>
      <c r="N309" t="str">
        <f t="shared" si="21"/>
        <v/>
      </c>
    </row>
    <row r="310" spans="1:14" ht="29.5" thickBot="1">
      <c r="A310" s="10">
        <v>46218</v>
      </c>
      <c r="B310" s="323" t="s">
        <v>239</v>
      </c>
      <c r="C310" s="19">
        <v>223.42</v>
      </c>
      <c r="D310" s="30">
        <v>187242.73</v>
      </c>
      <c r="E310" s="15"/>
      <c r="F310" s="15"/>
      <c r="G310" s="33">
        <f t="shared" si="23"/>
        <v>5325450.200000002</v>
      </c>
      <c r="H310" s="321" t="s">
        <v>10</v>
      </c>
      <c r="I310" s="332" t="s">
        <v>116</v>
      </c>
      <c r="J310" s="332" t="s">
        <v>118</v>
      </c>
      <c r="K310" s="15"/>
      <c r="L310" s="416" t="s">
        <v>437</v>
      </c>
      <c r="M310" t="str">
        <f t="shared" si="22"/>
        <v/>
      </c>
      <c r="N310" t="str">
        <f t="shared" si="21"/>
        <v/>
      </c>
    </row>
    <row r="311" spans="1:14" ht="15" thickBot="1">
      <c r="A311" s="10">
        <v>46218</v>
      </c>
      <c r="B311" s="322" t="s">
        <v>31</v>
      </c>
      <c r="C311" s="19">
        <v>0.42</v>
      </c>
      <c r="D311" s="30">
        <v>561.72</v>
      </c>
      <c r="E311" s="15"/>
      <c r="F311" s="15"/>
      <c r="G311" s="33">
        <f t="shared" si="23"/>
        <v>5324888.4800000023</v>
      </c>
      <c r="H311" s="321" t="s">
        <v>25</v>
      </c>
      <c r="I311" s="332" t="s">
        <v>116</v>
      </c>
      <c r="J311" s="332" t="s">
        <v>118</v>
      </c>
      <c r="K311" s="15"/>
      <c r="L311" s="416" t="s">
        <v>437</v>
      </c>
      <c r="M311" t="str">
        <f t="shared" si="22"/>
        <v/>
      </c>
      <c r="N311" t="str">
        <f t="shared" si="21"/>
        <v/>
      </c>
    </row>
    <row r="312" spans="1:14" ht="15" thickBot="1">
      <c r="A312" s="10">
        <v>46218</v>
      </c>
      <c r="B312" s="322" t="s">
        <v>240</v>
      </c>
      <c r="C312" s="19">
        <v>223.42</v>
      </c>
      <c r="D312" s="30">
        <v>187242.73</v>
      </c>
      <c r="E312" s="15"/>
      <c r="F312" s="15"/>
      <c r="G312" s="33">
        <f t="shared" si="23"/>
        <v>5137645.7500000019</v>
      </c>
      <c r="H312" s="321" t="s">
        <v>10</v>
      </c>
      <c r="I312" s="332" t="s">
        <v>116</v>
      </c>
      <c r="J312" s="332" t="s">
        <v>118</v>
      </c>
      <c r="K312" s="15"/>
      <c r="L312" s="416" t="s">
        <v>437</v>
      </c>
      <c r="M312" t="str">
        <f t="shared" si="22"/>
        <v/>
      </c>
      <c r="N312" t="str">
        <f t="shared" si="21"/>
        <v/>
      </c>
    </row>
    <row r="313" spans="1:14" ht="15" thickBot="1">
      <c r="A313" s="10">
        <v>46218</v>
      </c>
      <c r="B313" s="322" t="s">
        <v>31</v>
      </c>
      <c r="C313" s="19">
        <v>0.42</v>
      </c>
      <c r="D313" s="30">
        <v>561.72</v>
      </c>
      <c r="E313" s="15"/>
      <c r="F313" s="15"/>
      <c r="G313" s="33">
        <f t="shared" si="23"/>
        <v>5137084.0300000021</v>
      </c>
      <c r="H313" s="321" t="s">
        <v>25</v>
      </c>
      <c r="I313" s="332" t="s">
        <v>116</v>
      </c>
      <c r="J313" s="332" t="s">
        <v>118</v>
      </c>
      <c r="K313" s="15"/>
      <c r="L313" s="416" t="s">
        <v>437</v>
      </c>
      <c r="M313" t="str">
        <f t="shared" si="22"/>
        <v/>
      </c>
      <c r="N313" t="str">
        <f t="shared" si="21"/>
        <v/>
      </c>
    </row>
    <row r="314" spans="1:14" ht="15" thickBot="1">
      <c r="A314" s="69">
        <v>46219</v>
      </c>
      <c r="B314" s="70" t="s">
        <v>241</v>
      </c>
      <c r="C314" s="72"/>
      <c r="D314" s="73"/>
      <c r="E314" s="70">
        <v>223.42</v>
      </c>
      <c r="F314" s="72">
        <v>187242.73</v>
      </c>
      <c r="G314" s="74">
        <f>G313+F314</f>
        <v>5324326.7600000026</v>
      </c>
      <c r="H314" s="75" t="s">
        <v>10</v>
      </c>
      <c r="I314" s="332" t="s">
        <v>127</v>
      </c>
      <c r="J314" s="332" t="s">
        <v>272</v>
      </c>
      <c r="K314" s="416" t="s">
        <v>127</v>
      </c>
      <c r="L314" s="15"/>
      <c r="M314" t="str">
        <f t="shared" si="22"/>
        <v/>
      </c>
      <c r="N314" t="str">
        <f t="shared" si="21"/>
        <v/>
      </c>
    </row>
    <row r="315" spans="1:14" ht="15" thickBot="1">
      <c r="A315" s="69">
        <v>46219</v>
      </c>
      <c r="B315" s="70" t="s">
        <v>233</v>
      </c>
      <c r="C315" s="72"/>
      <c r="D315" s="73"/>
      <c r="E315" s="70">
        <v>32.049999999999997</v>
      </c>
      <c r="F315" s="72">
        <v>26862.58</v>
      </c>
      <c r="G315" s="74">
        <f>G314+F315</f>
        <v>5351189.3400000026</v>
      </c>
      <c r="H315" s="75" t="s">
        <v>13</v>
      </c>
      <c r="I315" s="332" t="s">
        <v>127</v>
      </c>
      <c r="J315" s="560" t="s">
        <v>738</v>
      </c>
      <c r="K315" s="416" t="s">
        <v>127</v>
      </c>
      <c r="L315" s="15"/>
      <c r="M315" t="str">
        <f t="shared" si="22"/>
        <v/>
      </c>
      <c r="N315" t="str">
        <f t="shared" si="21"/>
        <v/>
      </c>
    </row>
    <row r="316" spans="1:14" ht="15" thickBot="1">
      <c r="A316" s="69">
        <v>46219</v>
      </c>
      <c r="B316" s="70" t="s">
        <v>234</v>
      </c>
      <c r="C316" s="72"/>
      <c r="D316" s="73"/>
      <c r="E316" s="70">
        <v>19.010000000000002</v>
      </c>
      <c r="F316" s="72">
        <v>15927.7</v>
      </c>
      <c r="G316" s="74">
        <f>G315+F316</f>
        <v>5367117.0400000028</v>
      </c>
      <c r="H316" s="75" t="s">
        <v>13</v>
      </c>
      <c r="I316" s="332" t="s">
        <v>127</v>
      </c>
      <c r="J316" s="560" t="s">
        <v>738</v>
      </c>
      <c r="K316" s="416" t="s">
        <v>127</v>
      </c>
      <c r="L316" s="15"/>
      <c r="M316" t="str">
        <f t="shared" si="22"/>
        <v/>
      </c>
      <c r="N316" t="str">
        <f t="shared" si="21"/>
        <v/>
      </c>
    </row>
    <row r="317" spans="1:14" ht="15" thickBot="1">
      <c r="A317" s="10">
        <v>46219</v>
      </c>
      <c r="B317" s="298" t="s">
        <v>169</v>
      </c>
      <c r="C317" s="19">
        <v>0.48</v>
      </c>
      <c r="D317" s="30">
        <v>402.93</v>
      </c>
      <c r="E317" s="15"/>
      <c r="F317" s="15"/>
      <c r="G317" s="33">
        <f>G316-D317</f>
        <v>5366714.1100000031</v>
      </c>
      <c r="H317" s="321" t="s">
        <v>13</v>
      </c>
      <c r="I317" s="15" t="s">
        <v>116</v>
      </c>
      <c r="J317" s="15" t="s">
        <v>117</v>
      </c>
      <c r="K317" s="15"/>
      <c r="L317" s="416" t="s">
        <v>437</v>
      </c>
      <c r="M317" t="str">
        <f t="shared" si="22"/>
        <v/>
      </c>
      <c r="N317" t="str">
        <f t="shared" si="21"/>
        <v/>
      </c>
    </row>
    <row r="318" spans="1:14" ht="15" thickBot="1">
      <c r="A318" s="10">
        <v>46219</v>
      </c>
      <c r="B318" s="298" t="s">
        <v>169</v>
      </c>
      <c r="C318" s="19">
        <v>0.28999999999999998</v>
      </c>
      <c r="D318" s="30">
        <v>238.91</v>
      </c>
      <c r="E318" s="15"/>
      <c r="F318" s="15"/>
      <c r="G318" s="33">
        <f>G317-D318</f>
        <v>5366475.200000003</v>
      </c>
      <c r="H318" s="321" t="s">
        <v>13</v>
      </c>
      <c r="I318" s="15" t="s">
        <v>116</v>
      </c>
      <c r="J318" s="15" t="s">
        <v>117</v>
      </c>
      <c r="K318" s="15"/>
      <c r="L318" s="416" t="s">
        <v>437</v>
      </c>
      <c r="M318" t="str">
        <f t="shared" si="22"/>
        <v/>
      </c>
      <c r="N318" t="str">
        <f t="shared" si="21"/>
        <v/>
      </c>
    </row>
    <row r="319" spans="1:14" ht="29.5" thickBot="1">
      <c r="A319" s="10">
        <v>46219</v>
      </c>
      <c r="B319" s="337" t="s">
        <v>273</v>
      </c>
      <c r="C319" s="19">
        <v>24.3</v>
      </c>
      <c r="D319" s="30">
        <v>20368.25</v>
      </c>
      <c r="E319" s="15"/>
      <c r="F319" s="15"/>
      <c r="G319" s="33">
        <f>G318-D319</f>
        <v>5346106.950000003</v>
      </c>
      <c r="H319" s="321" t="s">
        <v>13</v>
      </c>
      <c r="I319" s="332" t="s">
        <v>116</v>
      </c>
      <c r="J319" s="332" t="s">
        <v>20</v>
      </c>
      <c r="K319" s="15"/>
      <c r="L319" s="416" t="s">
        <v>437</v>
      </c>
      <c r="M319" t="str">
        <f t="shared" si="22"/>
        <v/>
      </c>
      <c r="N319" t="str">
        <f t="shared" si="21"/>
        <v/>
      </c>
    </row>
    <row r="320" spans="1:14" ht="15" thickBot="1">
      <c r="A320" s="10">
        <v>46219</v>
      </c>
      <c r="B320" s="322" t="s">
        <v>243</v>
      </c>
      <c r="C320" s="19">
        <v>15.1</v>
      </c>
      <c r="D320" s="30">
        <v>12657.63</v>
      </c>
      <c r="E320" s="15"/>
      <c r="F320" s="15"/>
      <c r="G320" s="33">
        <f>G319-D320</f>
        <v>5333449.3200000031</v>
      </c>
      <c r="H320" s="321" t="s">
        <v>10</v>
      </c>
      <c r="I320" s="332" t="s">
        <v>116</v>
      </c>
      <c r="J320" s="332" t="s">
        <v>269</v>
      </c>
      <c r="K320" s="15"/>
      <c r="L320" s="416" t="s">
        <v>437</v>
      </c>
      <c r="M320" t="str">
        <f t="shared" si="22"/>
        <v/>
      </c>
      <c r="N320" t="str">
        <f t="shared" si="21"/>
        <v/>
      </c>
    </row>
    <row r="321" spans="1:14" ht="15" thickBot="1">
      <c r="A321" s="10">
        <v>46219</v>
      </c>
      <c r="B321" s="322" t="s">
        <v>31</v>
      </c>
      <c r="C321" s="19">
        <v>0.05</v>
      </c>
      <c r="D321" s="30">
        <v>37.97</v>
      </c>
      <c r="E321" s="15"/>
      <c r="F321" s="15"/>
      <c r="G321" s="33">
        <f>G320-D321</f>
        <v>5333411.3500000034</v>
      </c>
      <c r="H321" s="321" t="s">
        <v>25</v>
      </c>
      <c r="I321" s="332" t="s">
        <v>116</v>
      </c>
      <c r="J321" s="332" t="s">
        <v>269</v>
      </c>
      <c r="K321" s="15"/>
      <c r="L321" s="416" t="s">
        <v>437</v>
      </c>
      <c r="M321" t="str">
        <f t="shared" si="22"/>
        <v/>
      </c>
      <c r="N321" t="str">
        <f t="shared" si="21"/>
        <v/>
      </c>
    </row>
    <row r="322" spans="1:14" ht="15" thickBot="1">
      <c r="A322" s="69">
        <v>46220</v>
      </c>
      <c r="B322" s="70" t="s">
        <v>110</v>
      </c>
      <c r="C322" s="72"/>
      <c r="D322" s="73"/>
      <c r="E322" s="70">
        <v>408.39</v>
      </c>
      <c r="F322" s="72">
        <v>342253.54</v>
      </c>
      <c r="G322" s="74">
        <f>G321+F322</f>
        <v>5675664.8900000034</v>
      </c>
      <c r="H322" s="75" t="s">
        <v>10</v>
      </c>
      <c r="I322" s="332" t="s">
        <v>127</v>
      </c>
      <c r="J322" s="519" t="s">
        <v>737</v>
      </c>
      <c r="K322" s="416" t="s">
        <v>127</v>
      </c>
      <c r="L322" s="15"/>
      <c r="M322" t="str">
        <f t="shared" si="22"/>
        <v/>
      </c>
      <c r="N322" t="str">
        <f t="shared" si="21"/>
        <v/>
      </c>
    </row>
    <row r="323" spans="1:14" ht="15" thickBot="1">
      <c r="A323" s="69">
        <v>46220</v>
      </c>
      <c r="B323" s="70" t="s">
        <v>244</v>
      </c>
      <c r="C323" s="72"/>
      <c r="D323" s="73"/>
      <c r="E323" s="70">
        <v>37.67</v>
      </c>
      <c r="F323" s="72">
        <v>31570.639999999999</v>
      </c>
      <c r="G323" s="74">
        <f>G322+F323</f>
        <v>5707235.5300000031</v>
      </c>
      <c r="H323" s="75" t="s">
        <v>13</v>
      </c>
      <c r="I323" s="332" t="s">
        <v>127</v>
      </c>
      <c r="J323" s="559" t="s">
        <v>738</v>
      </c>
      <c r="K323" s="416" t="s">
        <v>127</v>
      </c>
      <c r="L323" s="15"/>
      <c r="M323" t="str">
        <f t="shared" si="22"/>
        <v/>
      </c>
      <c r="N323" t="str">
        <f t="shared" si="21"/>
        <v/>
      </c>
    </row>
    <row r="324" spans="1:14" ht="15" thickBot="1">
      <c r="A324" s="69">
        <v>46220</v>
      </c>
      <c r="B324" s="70" t="s">
        <v>232</v>
      </c>
      <c r="C324" s="72"/>
      <c r="D324" s="73"/>
      <c r="E324" s="70">
        <v>20.28</v>
      </c>
      <c r="F324" s="72">
        <v>16991.91</v>
      </c>
      <c r="G324" s="74">
        <f>G323+F324</f>
        <v>5724227.4400000032</v>
      </c>
      <c r="H324" s="75" t="s">
        <v>13</v>
      </c>
      <c r="I324" s="332" t="s">
        <v>127</v>
      </c>
      <c r="J324" s="559" t="s">
        <v>738</v>
      </c>
      <c r="K324" s="416" t="s">
        <v>127</v>
      </c>
      <c r="L324" s="15"/>
      <c r="M324" t="str">
        <f t="shared" si="22"/>
        <v/>
      </c>
      <c r="N324" t="str">
        <f t="shared" ref="N324:N387" si="24">IF(C324="","",IF(C324=D324,"OJOOO",""))</f>
        <v/>
      </c>
    </row>
    <row r="325" spans="1:14" ht="15" thickBot="1">
      <c r="A325" s="69">
        <v>46220</v>
      </c>
      <c r="B325" s="70" t="s">
        <v>245</v>
      </c>
      <c r="C325" s="72"/>
      <c r="D325" s="73"/>
      <c r="E325" s="70">
        <v>2.91</v>
      </c>
      <c r="F325" s="72">
        <v>2442.0300000000002</v>
      </c>
      <c r="G325" s="74">
        <f>G324+F325</f>
        <v>5726669.4700000035</v>
      </c>
      <c r="H325" s="75" t="s">
        <v>13</v>
      </c>
      <c r="I325" s="332" t="s">
        <v>127</v>
      </c>
      <c r="J325" s="559" t="s">
        <v>738</v>
      </c>
      <c r="K325" s="416" t="s">
        <v>127</v>
      </c>
      <c r="L325" s="15"/>
      <c r="M325" t="str">
        <f t="shared" si="22"/>
        <v/>
      </c>
      <c r="N325" t="str">
        <f t="shared" si="24"/>
        <v/>
      </c>
    </row>
    <row r="326" spans="1:14" ht="15" thickBot="1">
      <c r="A326" s="10">
        <v>46220</v>
      </c>
      <c r="B326" s="298" t="s">
        <v>169</v>
      </c>
      <c r="C326" s="19">
        <v>0.56999999999999995</v>
      </c>
      <c r="D326" s="30">
        <v>473.55</v>
      </c>
      <c r="E326" s="15"/>
      <c r="F326" s="15"/>
      <c r="G326" s="33">
        <f>G325-D326</f>
        <v>5726195.9200000037</v>
      </c>
      <c r="H326" s="321" t="s">
        <v>13</v>
      </c>
      <c r="I326" s="15" t="s">
        <v>116</v>
      </c>
      <c r="J326" s="15" t="s">
        <v>117</v>
      </c>
      <c r="K326" s="15"/>
      <c r="L326" s="416" t="s">
        <v>437</v>
      </c>
      <c r="M326" t="str">
        <f t="shared" si="22"/>
        <v/>
      </c>
      <c r="N326" t="str">
        <f t="shared" si="24"/>
        <v/>
      </c>
    </row>
    <row r="327" spans="1:14" ht="15" thickBot="1">
      <c r="A327" s="10">
        <v>46220</v>
      </c>
      <c r="B327" s="298" t="s">
        <v>169</v>
      </c>
      <c r="C327" s="19">
        <v>0.3</v>
      </c>
      <c r="D327" s="30">
        <v>254.87</v>
      </c>
      <c r="E327" s="15"/>
      <c r="F327" s="15"/>
      <c r="G327" s="33">
        <f>G326-D327</f>
        <v>5725941.0500000035</v>
      </c>
      <c r="H327" s="321" t="s">
        <v>13</v>
      </c>
      <c r="I327" s="15" t="s">
        <v>116</v>
      </c>
      <c r="J327" s="15" t="s">
        <v>117</v>
      </c>
      <c r="K327" s="15"/>
      <c r="L327" s="416" t="s">
        <v>437</v>
      </c>
      <c r="M327" t="str">
        <f t="shared" si="22"/>
        <v/>
      </c>
      <c r="N327" t="str">
        <f t="shared" si="24"/>
        <v/>
      </c>
    </row>
    <row r="328" spans="1:14" ht="15" thickBot="1">
      <c r="A328" s="10">
        <v>46220</v>
      </c>
      <c r="B328" s="298" t="s">
        <v>169</v>
      </c>
      <c r="C328" s="19">
        <v>0.04</v>
      </c>
      <c r="D328" s="30">
        <v>36.630000000000003</v>
      </c>
      <c r="E328" s="15"/>
      <c r="F328" s="15"/>
      <c r="G328" s="33">
        <f>G327-D328</f>
        <v>5725904.4200000037</v>
      </c>
      <c r="H328" s="321" t="s">
        <v>13</v>
      </c>
      <c r="I328" s="15" t="s">
        <v>116</v>
      </c>
      <c r="J328" s="15" t="s">
        <v>117</v>
      </c>
      <c r="K328" s="15"/>
      <c r="L328" s="416" t="s">
        <v>437</v>
      </c>
      <c r="M328" t="str">
        <f t="shared" si="22"/>
        <v/>
      </c>
      <c r="N328" t="str">
        <f t="shared" si="24"/>
        <v/>
      </c>
    </row>
    <row r="329" spans="1:14" ht="15" thickBot="1">
      <c r="A329" s="69">
        <v>46220</v>
      </c>
      <c r="B329" s="378" t="s">
        <v>246</v>
      </c>
      <c r="C329" s="72"/>
      <c r="D329" s="73"/>
      <c r="E329" s="70">
        <v>22.73</v>
      </c>
      <c r="F329" s="72">
        <v>19047.189999999999</v>
      </c>
      <c r="G329" s="74">
        <f>G328+F329</f>
        <v>5744951.6100000041</v>
      </c>
      <c r="H329" s="75" t="s">
        <v>10</v>
      </c>
      <c r="I329" s="332" t="s">
        <v>127</v>
      </c>
      <c r="J329" s="559" t="s">
        <v>738</v>
      </c>
      <c r="K329" s="416" t="s">
        <v>127</v>
      </c>
      <c r="L329" s="15"/>
      <c r="M329" t="str">
        <f t="shared" si="22"/>
        <v/>
      </c>
      <c r="N329" t="str">
        <f t="shared" si="24"/>
        <v/>
      </c>
    </row>
    <row r="330" spans="1:14" ht="29.5" thickBot="1">
      <c r="A330" s="69">
        <v>46220</v>
      </c>
      <c r="B330" s="378" t="s">
        <v>247</v>
      </c>
      <c r="C330" s="72"/>
      <c r="D330" s="71"/>
      <c r="E330" s="70">
        <v>52.2</v>
      </c>
      <c r="F330" s="73">
        <v>43747.02</v>
      </c>
      <c r="G330" s="74">
        <f>G329+F330</f>
        <v>5788698.6300000036</v>
      </c>
      <c r="H330" s="75" t="s">
        <v>10</v>
      </c>
      <c r="I330" s="332" t="s">
        <v>127</v>
      </c>
      <c r="J330" s="559" t="s">
        <v>738</v>
      </c>
      <c r="K330" s="416" t="s">
        <v>127</v>
      </c>
      <c r="L330" s="15"/>
      <c r="M330" t="str">
        <f t="shared" si="22"/>
        <v/>
      </c>
      <c r="N330" t="str">
        <f t="shared" si="24"/>
        <v/>
      </c>
    </row>
    <row r="331" spans="1:14" ht="15" thickBot="1">
      <c r="A331" s="10">
        <v>46220</v>
      </c>
      <c r="B331" s="324" t="s">
        <v>248</v>
      </c>
      <c r="C331" s="19">
        <v>309.60000000000002</v>
      </c>
      <c r="D331" s="30">
        <v>228158.05</v>
      </c>
      <c r="E331" s="15"/>
      <c r="F331" s="15"/>
      <c r="G331" s="33">
        <f>G330-D331</f>
        <v>5560540.5800000038</v>
      </c>
      <c r="H331" s="325" t="s">
        <v>10</v>
      </c>
      <c r="I331" s="332" t="s">
        <v>119</v>
      </c>
      <c r="J331" s="416" t="s">
        <v>447</v>
      </c>
      <c r="K331" s="15"/>
      <c r="L331" s="416" t="s">
        <v>437</v>
      </c>
      <c r="M331" t="str">
        <f t="shared" si="22"/>
        <v/>
      </c>
      <c r="N331" t="str">
        <f t="shared" si="24"/>
        <v/>
      </c>
    </row>
    <row r="332" spans="1:14" ht="15" thickBot="1">
      <c r="A332" s="10">
        <v>46220</v>
      </c>
      <c r="B332" s="324" t="s">
        <v>31</v>
      </c>
      <c r="C332" s="19">
        <v>0.93</v>
      </c>
      <c r="D332" s="30">
        <v>684.47</v>
      </c>
      <c r="E332" s="15"/>
      <c r="F332" s="15"/>
      <c r="G332" s="33">
        <f>G331-D332</f>
        <v>5559856.1100000041</v>
      </c>
      <c r="H332" s="325" t="s">
        <v>25</v>
      </c>
      <c r="I332" s="15" t="s">
        <v>116</v>
      </c>
      <c r="J332" s="15" t="s">
        <v>117</v>
      </c>
      <c r="K332" s="15"/>
      <c r="L332" s="416" t="s">
        <v>437</v>
      </c>
      <c r="M332" t="str">
        <f t="shared" si="22"/>
        <v/>
      </c>
      <c r="N332" t="str">
        <f t="shared" si="24"/>
        <v/>
      </c>
    </row>
    <row r="333" spans="1:14" ht="29.5" thickBot="1">
      <c r="A333" s="326">
        <v>46220</v>
      </c>
      <c r="B333" s="327" t="s">
        <v>249</v>
      </c>
      <c r="C333" s="19">
        <v>2589.41</v>
      </c>
      <c r="D333" s="30">
        <v>1908224.21</v>
      </c>
      <c r="E333" s="15"/>
      <c r="F333" s="15"/>
      <c r="G333" s="33">
        <f>G332-D333</f>
        <v>3651631.9000000041</v>
      </c>
      <c r="H333" s="325" t="s">
        <v>10</v>
      </c>
      <c r="I333" s="332" t="s">
        <v>119</v>
      </c>
      <c r="J333" s="416" t="s">
        <v>447</v>
      </c>
      <c r="K333" s="15"/>
      <c r="L333" s="416" t="s">
        <v>437</v>
      </c>
      <c r="M333" t="str">
        <f t="shared" si="22"/>
        <v/>
      </c>
      <c r="N333" t="str">
        <f t="shared" si="24"/>
        <v/>
      </c>
    </row>
    <row r="334" spans="1:14" ht="15" thickBot="1">
      <c r="A334" s="10">
        <v>46220</v>
      </c>
      <c r="B334" s="324" t="s">
        <v>31</v>
      </c>
      <c r="C334" s="19">
        <v>7.77</v>
      </c>
      <c r="D334" s="30">
        <v>5724.67</v>
      </c>
      <c r="E334" s="15"/>
      <c r="F334" s="15"/>
      <c r="G334" s="33">
        <f>G333-D334</f>
        <v>3645907.2300000042</v>
      </c>
      <c r="H334" s="325" t="s">
        <v>25</v>
      </c>
      <c r="I334" s="15" t="s">
        <v>116</v>
      </c>
      <c r="J334" s="15" t="s">
        <v>117</v>
      </c>
      <c r="K334" s="15"/>
      <c r="L334" s="416" t="s">
        <v>437</v>
      </c>
      <c r="M334" t="str">
        <f t="shared" si="22"/>
        <v/>
      </c>
      <c r="N334" t="str">
        <f t="shared" si="24"/>
        <v/>
      </c>
    </row>
    <row r="335" spans="1:14" ht="15" thickBot="1">
      <c r="A335" s="69">
        <v>46221</v>
      </c>
      <c r="B335" s="70" t="s">
        <v>233</v>
      </c>
      <c r="C335" s="72"/>
      <c r="D335" s="73"/>
      <c r="E335" s="70">
        <v>43.47</v>
      </c>
      <c r="F335" s="72">
        <v>32030.91</v>
      </c>
      <c r="G335" s="74">
        <f>G334+F335</f>
        <v>3677938.1400000043</v>
      </c>
      <c r="H335" s="75" t="s">
        <v>13</v>
      </c>
      <c r="I335" s="332" t="s">
        <v>127</v>
      </c>
      <c r="J335" s="519" t="s">
        <v>738</v>
      </c>
      <c r="K335" s="416" t="s">
        <v>127</v>
      </c>
      <c r="L335" s="15"/>
      <c r="M335" t="str">
        <f t="shared" si="22"/>
        <v/>
      </c>
      <c r="N335" t="str">
        <f t="shared" si="24"/>
        <v/>
      </c>
    </row>
    <row r="336" spans="1:14" ht="15" thickBot="1">
      <c r="A336" s="69">
        <v>46221</v>
      </c>
      <c r="B336" s="70" t="s">
        <v>250</v>
      </c>
      <c r="C336" s="72"/>
      <c r="D336" s="73"/>
      <c r="E336" s="70">
        <v>26.76</v>
      </c>
      <c r="F336" s="72">
        <v>19721.13</v>
      </c>
      <c r="G336" s="74">
        <f>G335+F336</f>
        <v>3697659.2700000042</v>
      </c>
      <c r="H336" s="75" t="s">
        <v>13</v>
      </c>
      <c r="I336" s="332" t="s">
        <v>127</v>
      </c>
      <c r="J336" s="519" t="s">
        <v>738</v>
      </c>
      <c r="K336" s="416" t="s">
        <v>127</v>
      </c>
      <c r="L336" s="15"/>
      <c r="M336" t="str">
        <f t="shared" si="22"/>
        <v/>
      </c>
      <c r="N336" t="str">
        <f t="shared" si="24"/>
        <v/>
      </c>
    </row>
    <row r="337" spans="1:14" ht="15" thickBot="1">
      <c r="A337" s="69">
        <v>46221</v>
      </c>
      <c r="B337" s="70" t="s">
        <v>251</v>
      </c>
      <c r="C337" s="72"/>
      <c r="D337" s="73"/>
      <c r="E337" s="70">
        <v>4.12</v>
      </c>
      <c r="F337" s="72">
        <v>3034.03</v>
      </c>
      <c r="G337" s="74">
        <f>G336+F337</f>
        <v>3700693.300000004</v>
      </c>
      <c r="H337" s="75" t="s">
        <v>13</v>
      </c>
      <c r="I337" s="332" t="s">
        <v>127</v>
      </c>
      <c r="J337" s="519" t="s">
        <v>738</v>
      </c>
      <c r="K337" s="416" t="s">
        <v>127</v>
      </c>
      <c r="L337" s="15"/>
      <c r="M337" t="str">
        <f t="shared" si="22"/>
        <v/>
      </c>
      <c r="N337" t="str">
        <f t="shared" si="24"/>
        <v/>
      </c>
    </row>
    <row r="338" spans="1:14" ht="15" thickBot="1">
      <c r="A338" s="326">
        <v>46221</v>
      </c>
      <c r="B338" s="298" t="s">
        <v>169</v>
      </c>
      <c r="C338" s="19">
        <v>0.65</v>
      </c>
      <c r="D338" s="30">
        <v>480.46</v>
      </c>
      <c r="E338" s="15"/>
      <c r="F338" s="15"/>
      <c r="G338" s="33">
        <f>G337-D338</f>
        <v>3700212.840000004</v>
      </c>
      <c r="H338" s="325" t="s">
        <v>25</v>
      </c>
      <c r="I338" s="15" t="s">
        <v>116</v>
      </c>
      <c r="J338" s="15" t="s">
        <v>117</v>
      </c>
      <c r="K338" s="15"/>
      <c r="L338" s="416" t="s">
        <v>437</v>
      </c>
      <c r="M338" t="str">
        <f t="shared" si="22"/>
        <v/>
      </c>
      <c r="N338" t="str">
        <f t="shared" si="24"/>
        <v/>
      </c>
    </row>
    <row r="339" spans="1:14" ht="15" thickBot="1">
      <c r="A339" s="326">
        <v>46221</v>
      </c>
      <c r="B339" s="298" t="s">
        <v>169</v>
      </c>
      <c r="C339" s="19">
        <v>0.4</v>
      </c>
      <c r="D339" s="30">
        <v>295.81</v>
      </c>
      <c r="E339" s="15"/>
      <c r="F339" s="15"/>
      <c r="G339" s="33">
        <f>G338-D339</f>
        <v>3699917.030000004</v>
      </c>
      <c r="H339" s="325" t="s">
        <v>25</v>
      </c>
      <c r="I339" s="15" t="s">
        <v>116</v>
      </c>
      <c r="J339" s="15" t="s">
        <v>117</v>
      </c>
      <c r="K339" s="15"/>
      <c r="L339" s="416" t="s">
        <v>437</v>
      </c>
      <c r="M339" t="str">
        <f t="shared" si="22"/>
        <v/>
      </c>
      <c r="N339" t="str">
        <f t="shared" si="24"/>
        <v/>
      </c>
    </row>
    <row r="340" spans="1:14" ht="15" thickBot="1">
      <c r="A340" s="326">
        <v>46221</v>
      </c>
      <c r="B340" s="298" t="s">
        <v>169</v>
      </c>
      <c r="C340" s="19">
        <v>0.06</v>
      </c>
      <c r="D340" s="30">
        <v>45.51</v>
      </c>
      <c r="E340" s="15"/>
      <c r="F340" s="15"/>
      <c r="G340" s="33">
        <f>G339-D340</f>
        <v>3699871.5200000042</v>
      </c>
      <c r="H340" s="325" t="s">
        <v>25</v>
      </c>
      <c r="I340" s="15" t="s">
        <v>116</v>
      </c>
      <c r="J340" s="15" t="s">
        <v>117</v>
      </c>
      <c r="K340" s="15"/>
      <c r="L340" s="416" t="s">
        <v>437</v>
      </c>
      <c r="M340" t="str">
        <f t="shared" ref="M340:M403" si="25">IF(E340="","",IF(E340=F340,"OJOOO",""))</f>
        <v/>
      </c>
      <c r="N340" t="str">
        <f t="shared" si="24"/>
        <v/>
      </c>
    </row>
    <row r="341" spans="1:14" ht="15" thickBot="1">
      <c r="A341" s="69">
        <v>46222</v>
      </c>
      <c r="B341" s="70" t="s">
        <v>252</v>
      </c>
      <c r="C341" s="72"/>
      <c r="D341" s="73"/>
      <c r="E341" s="70">
        <v>57.16</v>
      </c>
      <c r="F341" s="72">
        <v>42125.2</v>
      </c>
      <c r="G341" s="74">
        <f>G340+F341</f>
        <v>3741996.7200000044</v>
      </c>
      <c r="H341" s="75" t="s">
        <v>13</v>
      </c>
      <c r="I341" s="332" t="s">
        <v>127</v>
      </c>
      <c r="J341" s="519" t="s">
        <v>738</v>
      </c>
      <c r="K341" s="416" t="s">
        <v>127</v>
      </c>
      <c r="L341" s="15"/>
      <c r="M341" t="str">
        <f t="shared" si="25"/>
        <v/>
      </c>
      <c r="N341" t="str">
        <f t="shared" si="24"/>
        <v/>
      </c>
    </row>
    <row r="342" spans="1:14" ht="15" thickBot="1">
      <c r="A342" s="69">
        <v>46222</v>
      </c>
      <c r="B342" s="70" t="s">
        <v>245</v>
      </c>
      <c r="C342" s="72"/>
      <c r="D342" s="73"/>
      <c r="E342" s="70">
        <v>26.74</v>
      </c>
      <c r="F342" s="72">
        <v>19705.060000000001</v>
      </c>
      <c r="G342" s="74">
        <f>G341+F342</f>
        <v>3761701.7800000045</v>
      </c>
      <c r="H342" s="75" t="s">
        <v>13</v>
      </c>
      <c r="I342" s="332" t="s">
        <v>127</v>
      </c>
      <c r="J342" s="332" t="s">
        <v>129</v>
      </c>
      <c r="K342" s="416" t="s">
        <v>127</v>
      </c>
      <c r="L342" s="15"/>
      <c r="M342" t="str">
        <f t="shared" si="25"/>
        <v/>
      </c>
      <c r="N342" t="str">
        <f t="shared" si="24"/>
        <v/>
      </c>
    </row>
    <row r="343" spans="1:14" ht="15" thickBot="1">
      <c r="A343" s="10">
        <v>46222</v>
      </c>
      <c r="B343" s="298" t="s">
        <v>169</v>
      </c>
      <c r="C343" s="19">
        <v>0.86</v>
      </c>
      <c r="D343" s="30">
        <v>631.87</v>
      </c>
      <c r="E343" s="15"/>
      <c r="F343" s="15"/>
      <c r="G343" s="33">
        <f>G342-D343</f>
        <v>3761069.9100000043</v>
      </c>
      <c r="H343" s="325" t="s">
        <v>13</v>
      </c>
      <c r="I343" s="15" t="s">
        <v>116</v>
      </c>
      <c r="J343" s="15" t="s">
        <v>117</v>
      </c>
      <c r="K343" s="15"/>
      <c r="L343" s="416" t="s">
        <v>437</v>
      </c>
      <c r="M343" t="str">
        <f t="shared" si="25"/>
        <v/>
      </c>
      <c r="N343" t="str">
        <f t="shared" si="24"/>
        <v/>
      </c>
    </row>
    <row r="344" spans="1:14" ht="15" thickBot="1">
      <c r="A344" s="10">
        <v>46222</v>
      </c>
      <c r="B344" s="298" t="s">
        <v>169</v>
      </c>
      <c r="C344" s="19">
        <v>0.4</v>
      </c>
      <c r="D344" s="30">
        <v>295.57</v>
      </c>
      <c r="E344" s="15"/>
      <c r="F344" s="15"/>
      <c r="G344" s="33">
        <f>G343-D344</f>
        <v>3760774.3400000045</v>
      </c>
      <c r="H344" s="325" t="s">
        <v>13</v>
      </c>
      <c r="I344" s="15" t="s">
        <v>116</v>
      </c>
      <c r="J344" s="15" t="s">
        <v>117</v>
      </c>
      <c r="K344" s="15"/>
      <c r="L344" s="416" t="s">
        <v>437</v>
      </c>
      <c r="M344" t="str">
        <f t="shared" si="25"/>
        <v/>
      </c>
      <c r="N344" t="str">
        <f t="shared" si="24"/>
        <v/>
      </c>
    </row>
    <row r="345" spans="1:14" ht="15" thickBot="1">
      <c r="A345" s="69">
        <v>46223</v>
      </c>
      <c r="B345" s="70" t="s">
        <v>244</v>
      </c>
      <c r="C345" s="72"/>
      <c r="D345" s="73"/>
      <c r="E345" s="70">
        <v>13.46</v>
      </c>
      <c r="F345" s="72">
        <v>9916.0400000000009</v>
      </c>
      <c r="G345" s="74">
        <f>G344+F345</f>
        <v>3770690.3800000045</v>
      </c>
      <c r="H345" s="75" t="s">
        <v>13</v>
      </c>
      <c r="I345" s="332" t="s">
        <v>127</v>
      </c>
      <c r="J345" s="519" t="s">
        <v>738</v>
      </c>
      <c r="K345" s="416" t="s">
        <v>127</v>
      </c>
      <c r="L345" s="15"/>
      <c r="M345" t="str">
        <f t="shared" si="25"/>
        <v/>
      </c>
      <c r="N345" t="str">
        <f t="shared" si="24"/>
        <v/>
      </c>
    </row>
    <row r="346" spans="1:14" ht="15" thickBot="1">
      <c r="A346" s="69">
        <v>46223</v>
      </c>
      <c r="B346" s="70" t="s">
        <v>253</v>
      </c>
      <c r="C346" s="72"/>
      <c r="D346" s="73"/>
      <c r="E346" s="70">
        <v>6.73</v>
      </c>
      <c r="F346" s="72">
        <v>4958.0200000000004</v>
      </c>
      <c r="G346" s="74">
        <f>G345+F346</f>
        <v>3775648.4000000046</v>
      </c>
      <c r="H346" s="75" t="s">
        <v>13</v>
      </c>
      <c r="I346" s="332" t="s">
        <v>127</v>
      </c>
      <c r="J346" s="519" t="s">
        <v>738</v>
      </c>
      <c r="K346" s="416" t="s">
        <v>127</v>
      </c>
      <c r="L346" s="15"/>
      <c r="M346" t="str">
        <f t="shared" si="25"/>
        <v/>
      </c>
      <c r="N346" t="str">
        <f t="shared" si="24"/>
        <v/>
      </c>
    </row>
    <row r="347" spans="1:14" ht="15" thickBot="1">
      <c r="A347" s="10">
        <v>46223</v>
      </c>
      <c r="B347" s="298" t="s">
        <v>169</v>
      </c>
      <c r="C347" s="19">
        <v>0.18</v>
      </c>
      <c r="D347" s="30">
        <v>148.74</v>
      </c>
      <c r="E347" s="15"/>
      <c r="F347" s="15"/>
      <c r="G347" s="33">
        <f>G346-D347</f>
        <v>3775499.6600000043</v>
      </c>
      <c r="H347" s="325" t="s">
        <v>25</v>
      </c>
      <c r="I347" s="15" t="s">
        <v>116</v>
      </c>
      <c r="J347" s="15" t="s">
        <v>117</v>
      </c>
      <c r="K347" s="15"/>
      <c r="L347" s="416" t="s">
        <v>437</v>
      </c>
      <c r="M347" t="str">
        <f t="shared" si="25"/>
        <v/>
      </c>
      <c r="N347" t="str">
        <f t="shared" si="24"/>
        <v/>
      </c>
    </row>
    <row r="348" spans="1:14" ht="15" thickBot="1">
      <c r="A348" s="10">
        <v>46223</v>
      </c>
      <c r="B348" s="298" t="s">
        <v>169</v>
      </c>
      <c r="C348" s="19">
        <v>0.09</v>
      </c>
      <c r="D348" s="30">
        <v>74.37</v>
      </c>
      <c r="E348" s="15"/>
      <c r="F348" s="15"/>
      <c r="G348" s="33">
        <f>G347-D348</f>
        <v>3775425.2900000042</v>
      </c>
      <c r="H348" s="325" t="s">
        <v>25</v>
      </c>
      <c r="I348" s="15" t="s">
        <v>116</v>
      </c>
      <c r="J348" s="15" t="s">
        <v>117</v>
      </c>
      <c r="K348" s="15"/>
      <c r="L348" s="416" t="s">
        <v>437</v>
      </c>
      <c r="M348" t="str">
        <f t="shared" si="25"/>
        <v/>
      </c>
      <c r="N348" t="str">
        <f t="shared" si="24"/>
        <v/>
      </c>
    </row>
    <row r="349" spans="1:14" ht="15" thickBot="1">
      <c r="A349" s="69">
        <v>46224</v>
      </c>
      <c r="B349" s="70" t="s">
        <v>254</v>
      </c>
      <c r="C349" s="72"/>
      <c r="D349" s="73"/>
      <c r="E349" s="70">
        <v>28.76</v>
      </c>
      <c r="F349" s="72">
        <v>21202.01</v>
      </c>
      <c r="G349" s="74">
        <f>G348+F349</f>
        <v>3796627.300000004</v>
      </c>
      <c r="H349" s="75" t="s">
        <v>13</v>
      </c>
      <c r="I349" s="332" t="s">
        <v>127</v>
      </c>
      <c r="J349" s="519" t="s">
        <v>741</v>
      </c>
      <c r="K349" s="416" t="s">
        <v>127</v>
      </c>
      <c r="L349" s="15"/>
      <c r="M349" t="str">
        <f t="shared" si="25"/>
        <v/>
      </c>
      <c r="N349" t="str">
        <f t="shared" si="24"/>
        <v/>
      </c>
    </row>
    <row r="350" spans="1:14" ht="15" thickBot="1">
      <c r="A350" s="69">
        <v>46224</v>
      </c>
      <c r="B350" s="70" t="s">
        <v>250</v>
      </c>
      <c r="C350" s="72"/>
      <c r="D350" s="73"/>
      <c r="E350" s="70">
        <v>6.73</v>
      </c>
      <c r="F350" s="72">
        <v>4958.0200000000004</v>
      </c>
      <c r="G350" s="74">
        <f>G349+F350</f>
        <v>3801585.320000004</v>
      </c>
      <c r="H350" s="75" t="s">
        <v>13</v>
      </c>
      <c r="I350" s="332" t="s">
        <v>127</v>
      </c>
      <c r="J350" s="519" t="s">
        <v>738</v>
      </c>
      <c r="K350" s="416" t="s">
        <v>127</v>
      </c>
      <c r="L350" s="15"/>
      <c r="M350" t="str">
        <f t="shared" si="25"/>
        <v/>
      </c>
      <c r="N350" t="str">
        <f t="shared" si="24"/>
        <v/>
      </c>
    </row>
    <row r="351" spans="1:14" ht="15" thickBot="1">
      <c r="A351" s="69">
        <v>46224</v>
      </c>
      <c r="B351" s="70" t="s">
        <v>255</v>
      </c>
      <c r="C351" s="72"/>
      <c r="D351" s="73"/>
      <c r="E351" s="70">
        <v>3.36</v>
      </c>
      <c r="F351" s="70">
        <v>2479.0100000000002</v>
      </c>
      <c r="G351" s="74">
        <f>G350+F351</f>
        <v>3804064.3300000038</v>
      </c>
      <c r="H351" s="75" t="s">
        <v>13</v>
      </c>
      <c r="I351" s="332" t="s">
        <v>127</v>
      </c>
      <c r="J351" s="519" t="s">
        <v>738</v>
      </c>
      <c r="K351" s="416" t="s">
        <v>127</v>
      </c>
      <c r="L351" s="15"/>
      <c r="M351" t="str">
        <f t="shared" si="25"/>
        <v/>
      </c>
      <c r="N351" t="str">
        <f t="shared" si="24"/>
        <v/>
      </c>
    </row>
    <row r="352" spans="1:14" ht="15" thickBot="1">
      <c r="A352" s="10">
        <v>46224</v>
      </c>
      <c r="B352" s="298" t="s">
        <v>169</v>
      </c>
      <c r="C352" s="19">
        <v>0.38</v>
      </c>
      <c r="D352" s="30">
        <v>318.02999999999997</v>
      </c>
      <c r="E352" s="15"/>
      <c r="F352" s="15"/>
      <c r="G352" s="33">
        <f t="shared" ref="G352:G362" si="26">G351-D352</f>
        <v>3803746.300000004</v>
      </c>
      <c r="H352" s="328" t="s">
        <v>25</v>
      </c>
      <c r="I352" s="15" t="s">
        <v>116</v>
      </c>
      <c r="J352" s="15" t="s">
        <v>117</v>
      </c>
      <c r="K352" s="15"/>
      <c r="L352" s="416" t="s">
        <v>437</v>
      </c>
      <c r="M352" t="str">
        <f t="shared" si="25"/>
        <v/>
      </c>
      <c r="N352" t="str">
        <f t="shared" si="24"/>
        <v/>
      </c>
    </row>
    <row r="353" spans="1:14" ht="15" thickBot="1">
      <c r="A353" s="10">
        <v>46224</v>
      </c>
      <c r="B353" s="298" t="s">
        <v>169</v>
      </c>
      <c r="C353" s="19">
        <v>0.09</v>
      </c>
      <c r="D353" s="30">
        <v>74.37</v>
      </c>
      <c r="E353" s="15"/>
      <c r="F353" s="15"/>
      <c r="G353" s="33">
        <f t="shared" si="26"/>
        <v>3803671.9300000039</v>
      </c>
      <c r="H353" s="328" t="s">
        <v>25</v>
      </c>
      <c r="I353" s="15" t="s">
        <v>116</v>
      </c>
      <c r="J353" s="15" t="s">
        <v>117</v>
      </c>
      <c r="K353" s="15"/>
      <c r="L353" s="416" t="s">
        <v>437</v>
      </c>
      <c r="M353" t="str">
        <f t="shared" si="25"/>
        <v/>
      </c>
      <c r="N353" t="str">
        <f t="shared" si="24"/>
        <v/>
      </c>
    </row>
    <row r="354" spans="1:14" ht="15" thickBot="1">
      <c r="A354" s="10">
        <v>46224</v>
      </c>
      <c r="B354" s="298" t="s">
        <v>169</v>
      </c>
      <c r="C354" s="19">
        <v>0.04</v>
      </c>
      <c r="D354" s="30">
        <v>37.18</v>
      </c>
      <c r="E354" s="15"/>
      <c r="F354" s="15"/>
      <c r="G354" s="33">
        <f t="shared" si="26"/>
        <v>3803634.7500000037</v>
      </c>
      <c r="H354" s="328" t="s">
        <v>25</v>
      </c>
      <c r="I354" s="15" t="s">
        <v>116</v>
      </c>
      <c r="J354" s="15" t="s">
        <v>117</v>
      </c>
      <c r="K354" s="15"/>
      <c r="L354" s="416" t="s">
        <v>437</v>
      </c>
      <c r="M354" t="str">
        <f t="shared" si="25"/>
        <v/>
      </c>
      <c r="N354" t="str">
        <f t="shared" si="24"/>
        <v/>
      </c>
    </row>
    <row r="355" spans="1:14" ht="15" thickBot="1">
      <c r="A355" s="10">
        <v>46224</v>
      </c>
      <c r="B355" s="329" t="s">
        <v>256</v>
      </c>
      <c r="C355" s="19">
        <v>22.36</v>
      </c>
      <c r="D355" s="30">
        <v>18799.32</v>
      </c>
      <c r="E355" s="15"/>
      <c r="F355" s="15"/>
      <c r="G355" s="33">
        <f t="shared" si="26"/>
        <v>3784835.4300000039</v>
      </c>
      <c r="H355" s="328" t="s">
        <v>13</v>
      </c>
      <c r="I355" s="332" t="s">
        <v>116</v>
      </c>
      <c r="J355" s="332" t="s">
        <v>20</v>
      </c>
      <c r="K355" s="15"/>
      <c r="L355" s="416" t="s">
        <v>437</v>
      </c>
      <c r="M355" t="str">
        <f t="shared" si="25"/>
        <v/>
      </c>
      <c r="N355" t="str">
        <f t="shared" si="24"/>
        <v/>
      </c>
    </row>
    <row r="356" spans="1:14" ht="15" thickBot="1">
      <c r="A356" s="10">
        <v>46224</v>
      </c>
      <c r="B356" s="329" t="s">
        <v>257</v>
      </c>
      <c r="C356" s="19">
        <v>14.34</v>
      </c>
      <c r="D356" s="30">
        <v>12055.76</v>
      </c>
      <c r="E356" s="15"/>
      <c r="F356" s="15"/>
      <c r="G356" s="33">
        <f t="shared" si="26"/>
        <v>3772779.6700000041</v>
      </c>
      <c r="H356" s="328" t="s">
        <v>13</v>
      </c>
      <c r="I356" s="332" t="s">
        <v>116</v>
      </c>
      <c r="J356" s="332" t="s">
        <v>117</v>
      </c>
      <c r="K356" s="15"/>
      <c r="L356" s="416" t="s">
        <v>437</v>
      </c>
      <c r="M356" t="str">
        <f t="shared" si="25"/>
        <v/>
      </c>
      <c r="N356" t="str">
        <f t="shared" si="24"/>
        <v/>
      </c>
    </row>
    <row r="357" spans="1:14" ht="15" thickBot="1">
      <c r="A357" s="10">
        <v>46224</v>
      </c>
      <c r="B357" s="330" t="s">
        <v>258</v>
      </c>
      <c r="C357" s="19">
        <v>258.79000000000002</v>
      </c>
      <c r="D357" s="30">
        <v>217605</v>
      </c>
      <c r="E357" s="15"/>
      <c r="F357" s="15"/>
      <c r="G357" s="33">
        <f t="shared" si="26"/>
        <v>3555174.6700000041</v>
      </c>
      <c r="H357" s="328" t="s">
        <v>10</v>
      </c>
      <c r="I357" s="332" t="s">
        <v>119</v>
      </c>
      <c r="J357" s="416" t="s">
        <v>443</v>
      </c>
      <c r="K357" s="15"/>
      <c r="L357" s="416" t="s">
        <v>437</v>
      </c>
      <c r="M357" t="str">
        <f t="shared" si="25"/>
        <v/>
      </c>
      <c r="N357" t="str">
        <f t="shared" si="24"/>
        <v/>
      </c>
    </row>
    <row r="358" spans="1:14" ht="15" thickBot="1">
      <c r="A358" s="10">
        <v>46224</v>
      </c>
      <c r="B358" s="330" t="s">
        <v>31</v>
      </c>
      <c r="C358" s="19">
        <v>0.78</v>
      </c>
      <c r="D358" s="30">
        <v>652.80999999999995</v>
      </c>
      <c r="E358" s="15"/>
      <c r="F358" s="15"/>
      <c r="G358" s="33">
        <f t="shared" si="26"/>
        <v>3554521.8600000041</v>
      </c>
      <c r="H358" s="328" t="s">
        <v>25</v>
      </c>
      <c r="I358" s="15" t="s">
        <v>116</v>
      </c>
      <c r="J358" s="117" t="s">
        <v>117</v>
      </c>
      <c r="K358" s="15"/>
      <c r="L358" s="416" t="s">
        <v>437</v>
      </c>
      <c r="M358" t="str">
        <f t="shared" si="25"/>
        <v/>
      </c>
      <c r="N358" t="str">
        <f t="shared" si="24"/>
        <v/>
      </c>
    </row>
    <row r="359" spans="1:14" ht="15" thickBot="1">
      <c r="A359" s="10">
        <v>46224</v>
      </c>
      <c r="B359" s="330" t="s">
        <v>31</v>
      </c>
      <c r="C359" s="19">
        <v>9.0299999999999994</v>
      </c>
      <c r="D359" s="30">
        <v>7590.89</v>
      </c>
      <c r="E359" s="15"/>
      <c r="F359" s="15"/>
      <c r="G359" s="33">
        <f t="shared" si="26"/>
        <v>3546930.9700000039</v>
      </c>
      <c r="H359" s="328" t="s">
        <v>25</v>
      </c>
      <c r="I359" s="15" t="s">
        <v>116</v>
      </c>
      <c r="J359" s="117" t="s">
        <v>117</v>
      </c>
      <c r="K359" s="15"/>
      <c r="L359" s="416" t="s">
        <v>437</v>
      </c>
      <c r="M359" t="str">
        <f t="shared" si="25"/>
        <v/>
      </c>
      <c r="N359" t="str">
        <f t="shared" si="24"/>
        <v/>
      </c>
    </row>
    <row r="360" spans="1:14" ht="29.5" thickBot="1">
      <c r="A360" s="10">
        <v>46224</v>
      </c>
      <c r="B360" s="331" t="s">
        <v>259</v>
      </c>
      <c r="C360" s="19">
        <v>3009.19</v>
      </c>
      <c r="D360" s="30">
        <v>2530298.52</v>
      </c>
      <c r="E360" s="15"/>
      <c r="F360" s="15"/>
      <c r="G360" s="33">
        <f t="shared" si="26"/>
        <v>1016632.4500000039</v>
      </c>
      <c r="H360" s="328" t="s">
        <v>10</v>
      </c>
      <c r="I360" s="332" t="s">
        <v>119</v>
      </c>
      <c r="J360" s="416" t="s">
        <v>446</v>
      </c>
      <c r="K360" s="15"/>
      <c r="L360" s="416" t="s">
        <v>437</v>
      </c>
      <c r="M360" t="str">
        <f t="shared" si="25"/>
        <v/>
      </c>
      <c r="N360" t="str">
        <f t="shared" si="24"/>
        <v/>
      </c>
    </row>
    <row r="361" spans="1:14" ht="15" thickBot="1">
      <c r="A361" s="10">
        <v>46224</v>
      </c>
      <c r="B361" s="330" t="s">
        <v>31</v>
      </c>
      <c r="C361" s="19">
        <v>9.0299999999999994</v>
      </c>
      <c r="D361" s="30">
        <v>7590.89</v>
      </c>
      <c r="E361" s="15"/>
      <c r="F361" s="15"/>
      <c r="G361" s="33">
        <f t="shared" si="26"/>
        <v>1009041.5600000039</v>
      </c>
      <c r="H361" s="328" t="s">
        <v>25</v>
      </c>
      <c r="I361" s="15" t="s">
        <v>116</v>
      </c>
      <c r="J361" s="117" t="s">
        <v>117</v>
      </c>
      <c r="K361" s="15"/>
      <c r="L361" s="416" t="s">
        <v>437</v>
      </c>
      <c r="M361" t="str">
        <f t="shared" si="25"/>
        <v/>
      </c>
      <c r="N361" t="str">
        <f t="shared" si="24"/>
        <v/>
      </c>
    </row>
    <row r="362" spans="1:14" ht="15" thickBot="1">
      <c r="A362" s="10">
        <v>46224</v>
      </c>
      <c r="B362" s="329" t="s">
        <v>260</v>
      </c>
      <c r="C362" s="19">
        <v>52.61</v>
      </c>
      <c r="D362" s="30">
        <v>44233.93</v>
      </c>
      <c r="E362" s="15"/>
      <c r="F362" s="15"/>
      <c r="G362" s="33">
        <f t="shared" si="26"/>
        <v>964807.63000000385</v>
      </c>
      <c r="H362" s="8" t="s">
        <v>10</v>
      </c>
      <c r="I362" s="332" t="s">
        <v>116</v>
      </c>
      <c r="J362" s="332" t="s">
        <v>269</v>
      </c>
      <c r="K362" s="15"/>
      <c r="L362" s="416" t="s">
        <v>437</v>
      </c>
      <c r="M362" t="str">
        <f t="shared" si="25"/>
        <v/>
      </c>
      <c r="N362" t="str">
        <f t="shared" si="24"/>
        <v/>
      </c>
    </row>
    <row r="363" spans="1:14" ht="15" thickBot="1">
      <c r="A363" s="69">
        <v>46225</v>
      </c>
      <c r="B363" s="70" t="s">
        <v>263</v>
      </c>
      <c r="C363" s="72"/>
      <c r="D363" s="73"/>
      <c r="E363" s="381">
        <v>4329.6499999999996</v>
      </c>
      <c r="F363" s="72">
        <v>3640619.09</v>
      </c>
      <c r="G363" s="74">
        <f>G362+F363</f>
        <v>4605426.7200000035</v>
      </c>
      <c r="H363" s="75" t="s">
        <v>10</v>
      </c>
      <c r="I363" s="332" t="s">
        <v>127</v>
      </c>
      <c r="J363" s="519" t="s">
        <v>737</v>
      </c>
      <c r="K363" s="416" t="s">
        <v>127</v>
      </c>
      <c r="L363" s="15"/>
      <c r="M363" t="str">
        <f t="shared" si="25"/>
        <v/>
      </c>
      <c r="N363" t="str">
        <f t="shared" si="24"/>
        <v/>
      </c>
    </row>
    <row r="364" spans="1:14" ht="15" thickBot="1">
      <c r="A364" s="69">
        <v>46225</v>
      </c>
      <c r="B364" s="70" t="s">
        <v>261</v>
      </c>
      <c r="C364" s="72"/>
      <c r="D364" s="73"/>
      <c r="E364" s="70">
        <v>40.54</v>
      </c>
      <c r="F364" s="72">
        <v>34091.94</v>
      </c>
      <c r="G364" s="74">
        <f t="shared" ref="G364:G366" si="27">G363+F364</f>
        <v>4639518.6600000039</v>
      </c>
      <c r="H364" s="75" t="s">
        <v>13</v>
      </c>
      <c r="I364" s="332" t="s">
        <v>127</v>
      </c>
      <c r="J364" s="519" t="s">
        <v>738</v>
      </c>
      <c r="K364" s="416" t="s">
        <v>127</v>
      </c>
      <c r="L364" s="15"/>
      <c r="M364" t="str">
        <f t="shared" si="25"/>
        <v/>
      </c>
      <c r="N364" t="str">
        <f t="shared" si="24"/>
        <v/>
      </c>
    </row>
    <row r="365" spans="1:14" ht="15" thickBot="1">
      <c r="A365" s="69">
        <v>46225</v>
      </c>
      <c r="B365" s="70" t="s">
        <v>252</v>
      </c>
      <c r="C365" s="72"/>
      <c r="D365" s="73"/>
      <c r="E365" s="70">
        <v>14.7</v>
      </c>
      <c r="F365" s="72">
        <v>12358.44</v>
      </c>
      <c r="G365" s="74">
        <f t="shared" si="27"/>
        <v>4651877.1000000043</v>
      </c>
      <c r="H365" s="75" t="s">
        <v>13</v>
      </c>
      <c r="I365" s="332" t="s">
        <v>127</v>
      </c>
      <c r="J365" s="519" t="s">
        <v>738</v>
      </c>
      <c r="K365" s="416" t="s">
        <v>127</v>
      </c>
      <c r="L365" s="15"/>
      <c r="M365" t="str">
        <f t="shared" si="25"/>
        <v/>
      </c>
      <c r="N365" t="str">
        <f t="shared" si="24"/>
        <v/>
      </c>
    </row>
    <row r="366" spans="1:14" ht="15" thickBot="1">
      <c r="A366" s="69">
        <v>46225</v>
      </c>
      <c r="B366" s="70" t="s">
        <v>262</v>
      </c>
      <c r="C366" s="72"/>
      <c r="D366" s="73"/>
      <c r="E366" s="70">
        <v>11.76</v>
      </c>
      <c r="F366" s="72">
        <v>9887.61</v>
      </c>
      <c r="G366" s="74">
        <f t="shared" si="27"/>
        <v>4661764.7100000046</v>
      </c>
      <c r="H366" s="75" t="s">
        <v>13</v>
      </c>
      <c r="I366" s="332" t="s">
        <v>127</v>
      </c>
      <c r="J366" s="519" t="s">
        <v>741</v>
      </c>
      <c r="K366" s="416" t="s">
        <v>127</v>
      </c>
      <c r="L366" s="15"/>
      <c r="M366" t="str">
        <f t="shared" si="25"/>
        <v/>
      </c>
      <c r="N366" t="str">
        <f t="shared" si="24"/>
        <v/>
      </c>
    </row>
    <row r="367" spans="1:14" ht="15" thickBot="1">
      <c r="A367" s="10">
        <v>46225</v>
      </c>
      <c r="B367" s="298" t="s">
        <v>169</v>
      </c>
      <c r="C367" s="19">
        <v>0.61</v>
      </c>
      <c r="D367" s="30">
        <v>511.37</v>
      </c>
      <c r="E367" s="15"/>
      <c r="F367" s="15"/>
      <c r="G367" s="33">
        <f t="shared" ref="G367:G372" si="28">G366-D367</f>
        <v>4661253.3400000045</v>
      </c>
      <c r="H367" s="328" t="s">
        <v>25</v>
      </c>
      <c r="I367" s="15" t="s">
        <v>116</v>
      </c>
      <c r="J367" s="15" t="s">
        <v>117</v>
      </c>
      <c r="K367" s="15"/>
      <c r="L367" s="416" t="s">
        <v>437</v>
      </c>
      <c r="M367" t="str">
        <f t="shared" si="25"/>
        <v/>
      </c>
      <c r="N367" t="str">
        <f t="shared" si="24"/>
        <v/>
      </c>
    </row>
    <row r="368" spans="1:14" ht="15" thickBot="1">
      <c r="A368" s="10">
        <v>46225</v>
      </c>
      <c r="B368" s="298" t="s">
        <v>169</v>
      </c>
      <c r="C368" s="19">
        <v>0.22</v>
      </c>
      <c r="D368" s="30">
        <v>185.37</v>
      </c>
      <c r="E368" s="15"/>
      <c r="F368" s="15"/>
      <c r="G368" s="33">
        <f t="shared" si="28"/>
        <v>4661067.9700000044</v>
      </c>
      <c r="H368" s="328" t="s">
        <v>25</v>
      </c>
      <c r="I368" s="15" t="s">
        <v>116</v>
      </c>
      <c r="J368" s="15" t="s">
        <v>117</v>
      </c>
      <c r="K368" s="15"/>
      <c r="L368" s="416" t="s">
        <v>437</v>
      </c>
      <c r="M368" t="str">
        <f t="shared" si="25"/>
        <v/>
      </c>
      <c r="N368" t="str">
        <f t="shared" si="24"/>
        <v/>
      </c>
    </row>
    <row r="369" spans="1:14" ht="15" thickBot="1">
      <c r="A369" s="10">
        <v>46225</v>
      </c>
      <c r="B369" s="298" t="s">
        <v>169</v>
      </c>
      <c r="C369" s="19">
        <v>0.18</v>
      </c>
      <c r="D369" s="30">
        <v>148.31</v>
      </c>
      <c r="E369" s="15"/>
      <c r="F369" s="15"/>
      <c r="G369" s="33">
        <f t="shared" si="28"/>
        <v>4660919.6600000048</v>
      </c>
      <c r="H369" s="328" t="s">
        <v>25</v>
      </c>
      <c r="I369" s="15" t="s">
        <v>116</v>
      </c>
      <c r="J369" s="15" t="s">
        <v>117</v>
      </c>
      <c r="K369" s="15"/>
      <c r="L369" s="416" t="s">
        <v>437</v>
      </c>
      <c r="M369" t="str">
        <f t="shared" si="25"/>
        <v/>
      </c>
      <c r="N369" t="str">
        <f t="shared" si="24"/>
        <v/>
      </c>
    </row>
    <row r="370" spans="1:14" ht="15" thickBot="1">
      <c r="A370" s="10">
        <v>46225</v>
      </c>
      <c r="B370" s="15" t="s">
        <v>264</v>
      </c>
      <c r="C370" s="19">
        <v>1502</v>
      </c>
      <c r="D370" s="30">
        <v>1107322.6100000001</v>
      </c>
      <c r="E370" s="15"/>
      <c r="F370" s="15"/>
      <c r="G370" s="33">
        <f t="shared" si="28"/>
        <v>3553597.0500000045</v>
      </c>
      <c r="H370" s="8" t="s">
        <v>10</v>
      </c>
      <c r="I370" s="332" t="s">
        <v>119</v>
      </c>
      <c r="J370" s="416" t="s">
        <v>445</v>
      </c>
      <c r="K370" s="15"/>
      <c r="L370" s="416" t="s">
        <v>437</v>
      </c>
      <c r="M370" t="str">
        <f t="shared" si="25"/>
        <v/>
      </c>
      <c r="N370" t="str">
        <f t="shared" si="24"/>
        <v/>
      </c>
    </row>
    <row r="371" spans="1:14" ht="15" thickBot="1">
      <c r="A371" s="10">
        <v>46225</v>
      </c>
      <c r="B371" s="15" t="s">
        <v>31</v>
      </c>
      <c r="C371" s="19">
        <v>4.51</v>
      </c>
      <c r="D371" s="30">
        <v>3321.96</v>
      </c>
      <c r="E371" s="15"/>
      <c r="F371" s="15"/>
      <c r="G371" s="33">
        <f t="shared" si="28"/>
        <v>3550275.0900000045</v>
      </c>
      <c r="H371" s="8" t="s">
        <v>25</v>
      </c>
      <c r="I371" s="332" t="s">
        <v>119</v>
      </c>
      <c r="J371" s="416" t="s">
        <v>445</v>
      </c>
      <c r="K371" s="15"/>
      <c r="L371" s="416" t="s">
        <v>437</v>
      </c>
      <c r="M371" t="str">
        <f t="shared" si="25"/>
        <v/>
      </c>
      <c r="N371" t="str">
        <f t="shared" si="24"/>
        <v/>
      </c>
    </row>
    <row r="372" spans="1:14" ht="15" thickBot="1">
      <c r="A372" s="10">
        <v>46225</v>
      </c>
      <c r="B372" s="15" t="s">
        <v>221</v>
      </c>
      <c r="C372" s="19">
        <v>36.51</v>
      </c>
      <c r="D372" s="30">
        <v>26914.55</v>
      </c>
      <c r="E372" s="15"/>
      <c r="F372" s="15"/>
      <c r="G372" s="33">
        <f t="shared" si="28"/>
        <v>3523360.5400000047</v>
      </c>
      <c r="H372" s="8" t="s">
        <v>10</v>
      </c>
      <c r="I372" s="332" t="s">
        <v>116</v>
      </c>
      <c r="J372" s="332" t="s">
        <v>266</v>
      </c>
      <c r="K372" s="416" t="s">
        <v>127</v>
      </c>
      <c r="L372" s="15"/>
      <c r="M372" t="str">
        <f t="shared" si="25"/>
        <v/>
      </c>
      <c r="N372" t="str">
        <f t="shared" si="24"/>
        <v/>
      </c>
    </row>
    <row r="373" spans="1:14" ht="15" thickBot="1">
      <c r="A373" s="69">
        <v>46226</v>
      </c>
      <c r="B373" s="70" t="s">
        <v>274</v>
      </c>
      <c r="C373" s="72"/>
      <c r="D373" s="73"/>
      <c r="E373" s="70">
        <v>42.86</v>
      </c>
      <c r="F373" s="72">
        <v>31624.959999999999</v>
      </c>
      <c r="G373" s="74">
        <f>G372+F373</f>
        <v>3554985.5000000047</v>
      </c>
      <c r="H373" s="75" t="s">
        <v>13</v>
      </c>
      <c r="I373" s="338" t="s">
        <v>127</v>
      </c>
      <c r="J373" s="516" t="s">
        <v>738</v>
      </c>
      <c r="K373" s="416" t="s">
        <v>127</v>
      </c>
      <c r="L373" s="15"/>
      <c r="M373" t="str">
        <f t="shared" si="25"/>
        <v/>
      </c>
      <c r="N373" t="str">
        <f t="shared" si="24"/>
        <v/>
      </c>
    </row>
    <row r="374" spans="1:14" ht="15" thickBot="1">
      <c r="A374" s="69">
        <v>46226</v>
      </c>
      <c r="B374" s="70" t="s">
        <v>277</v>
      </c>
      <c r="C374" s="72"/>
      <c r="D374" s="73"/>
      <c r="E374" s="70">
        <v>20.100000000000001</v>
      </c>
      <c r="F374" s="72">
        <v>14833.15</v>
      </c>
      <c r="G374" s="74">
        <f>G373+F374</f>
        <v>3569818.6500000046</v>
      </c>
      <c r="H374" s="75" t="s">
        <v>13</v>
      </c>
      <c r="I374" s="338" t="s">
        <v>127</v>
      </c>
      <c r="J374" s="516" t="s">
        <v>741</v>
      </c>
      <c r="K374" s="416" t="s">
        <v>127</v>
      </c>
      <c r="L374" s="15"/>
      <c r="M374" t="str">
        <f t="shared" si="25"/>
        <v/>
      </c>
      <c r="N374" t="str">
        <f t="shared" si="24"/>
        <v/>
      </c>
    </row>
    <row r="375" spans="1:14" ht="15" thickBot="1">
      <c r="A375" s="69">
        <v>46226</v>
      </c>
      <c r="B375" s="70" t="s">
        <v>253</v>
      </c>
      <c r="C375" s="72"/>
      <c r="D375" s="73"/>
      <c r="E375" s="70">
        <v>20.100000000000001</v>
      </c>
      <c r="F375" s="72">
        <v>14832.29</v>
      </c>
      <c r="G375" s="74">
        <f>G374+F375</f>
        <v>3584650.9400000046</v>
      </c>
      <c r="H375" s="75" t="s">
        <v>13</v>
      </c>
      <c r="I375" s="338" t="s">
        <v>127</v>
      </c>
      <c r="J375" s="516" t="s">
        <v>738</v>
      </c>
      <c r="K375" s="416" t="s">
        <v>127</v>
      </c>
      <c r="L375" s="15"/>
      <c r="M375" t="str">
        <f t="shared" si="25"/>
        <v/>
      </c>
      <c r="N375" t="str">
        <f t="shared" si="24"/>
        <v/>
      </c>
    </row>
    <row r="376" spans="1:14" ht="15" thickBot="1">
      <c r="A376" s="10">
        <v>46226</v>
      </c>
      <c r="B376" s="298" t="s">
        <v>169</v>
      </c>
      <c r="C376" s="180">
        <v>0.64</v>
      </c>
      <c r="D376" s="180">
        <v>474.37</v>
      </c>
      <c r="E376" s="15"/>
      <c r="F376" s="112"/>
      <c r="G376" s="33">
        <f>G375-D376</f>
        <v>3584176.5700000045</v>
      </c>
      <c r="H376" s="339" t="s">
        <v>25</v>
      </c>
      <c r="I376" s="15" t="s">
        <v>116</v>
      </c>
      <c r="J376" s="15" t="s">
        <v>117</v>
      </c>
      <c r="K376" s="15"/>
      <c r="L376" s="416" t="s">
        <v>437</v>
      </c>
      <c r="M376" t="str">
        <f t="shared" si="25"/>
        <v/>
      </c>
      <c r="N376" t="str">
        <f t="shared" si="24"/>
        <v/>
      </c>
    </row>
    <row r="377" spans="1:14" ht="15" thickBot="1">
      <c r="A377" s="10">
        <v>46226</v>
      </c>
      <c r="B377" s="298" t="s">
        <v>169</v>
      </c>
      <c r="C377" s="180">
        <v>0.3</v>
      </c>
      <c r="D377" s="180">
        <v>222.49</v>
      </c>
      <c r="E377" s="15"/>
      <c r="F377" s="15"/>
      <c r="G377" s="33">
        <f t="shared" ref="G377:G379" si="29">G376-D377</f>
        <v>3583954.0800000043</v>
      </c>
      <c r="H377" s="339" t="s">
        <v>25</v>
      </c>
      <c r="I377" s="15" t="s">
        <v>116</v>
      </c>
      <c r="J377" s="15" t="s">
        <v>117</v>
      </c>
      <c r="K377" s="15"/>
      <c r="L377" s="416" t="s">
        <v>437</v>
      </c>
      <c r="M377" t="str">
        <f t="shared" si="25"/>
        <v/>
      </c>
      <c r="N377" t="str">
        <f t="shared" si="24"/>
        <v/>
      </c>
    </row>
    <row r="378" spans="1:14" ht="15" thickBot="1">
      <c r="A378" s="10">
        <v>46226</v>
      </c>
      <c r="B378" s="298" t="s">
        <v>169</v>
      </c>
      <c r="C378" s="180">
        <v>0.3</v>
      </c>
      <c r="D378" s="180">
        <v>222.48</v>
      </c>
      <c r="E378" s="15"/>
      <c r="F378" s="102"/>
      <c r="G378" s="33">
        <f t="shared" si="29"/>
        <v>3583731.6000000043</v>
      </c>
      <c r="H378" s="339" t="s">
        <v>25</v>
      </c>
      <c r="I378" s="15" t="s">
        <v>116</v>
      </c>
      <c r="J378" s="15" t="s">
        <v>117</v>
      </c>
      <c r="K378" s="15"/>
      <c r="L378" s="416" t="s">
        <v>437</v>
      </c>
      <c r="M378" t="str">
        <f t="shared" si="25"/>
        <v/>
      </c>
      <c r="N378" t="str">
        <f t="shared" si="24"/>
        <v/>
      </c>
    </row>
    <row r="379" spans="1:14" ht="15" thickBot="1">
      <c r="A379" s="10">
        <v>46226</v>
      </c>
      <c r="B379" s="338" t="s">
        <v>276</v>
      </c>
      <c r="C379" s="180">
        <v>49.9</v>
      </c>
      <c r="D379" s="180">
        <v>36820.29</v>
      </c>
      <c r="E379" s="15"/>
      <c r="F379" s="102"/>
      <c r="G379" s="33">
        <f t="shared" si="29"/>
        <v>3546911.3100000042</v>
      </c>
      <c r="H379" s="339" t="s">
        <v>25</v>
      </c>
      <c r="I379" s="15" t="s">
        <v>116</v>
      </c>
      <c r="J379" s="15" t="s">
        <v>117</v>
      </c>
      <c r="K379" s="15"/>
      <c r="L379" s="416" t="s">
        <v>437</v>
      </c>
      <c r="M379" t="str">
        <f t="shared" si="25"/>
        <v/>
      </c>
      <c r="N379" t="str">
        <f t="shared" si="24"/>
        <v/>
      </c>
    </row>
    <row r="380" spans="1:14" ht="15" thickBot="1">
      <c r="A380" s="69">
        <v>46227</v>
      </c>
      <c r="B380" s="70" t="s">
        <v>255</v>
      </c>
      <c r="C380" s="72"/>
      <c r="D380" s="72"/>
      <c r="E380" s="520">
        <v>26.37</v>
      </c>
      <c r="F380" s="72">
        <v>22275.16</v>
      </c>
      <c r="G380" s="74">
        <f>G379+F380</f>
        <v>3569186.4700000044</v>
      </c>
      <c r="H380" s="75" t="s">
        <v>13</v>
      </c>
      <c r="I380" s="344" t="s">
        <v>127</v>
      </c>
      <c r="J380" s="519" t="s">
        <v>738</v>
      </c>
      <c r="K380" s="416" t="s">
        <v>127</v>
      </c>
      <c r="L380" s="15"/>
      <c r="M380" t="str">
        <f t="shared" si="25"/>
        <v/>
      </c>
      <c r="N380" t="str">
        <f t="shared" si="24"/>
        <v/>
      </c>
    </row>
    <row r="381" spans="1:14" ht="15" thickBot="1">
      <c r="A381" s="69">
        <v>46227</v>
      </c>
      <c r="B381" s="70" t="s">
        <v>278</v>
      </c>
      <c r="C381" s="72"/>
      <c r="D381" s="73"/>
      <c r="E381" s="70">
        <v>8.7899999999999991</v>
      </c>
      <c r="F381" s="72">
        <v>7425.06</v>
      </c>
      <c r="G381" s="74">
        <f>G380+F381</f>
        <v>3576611.5300000045</v>
      </c>
      <c r="H381" s="75" t="s">
        <v>13</v>
      </c>
      <c r="I381" s="344" t="s">
        <v>127</v>
      </c>
      <c r="J381" s="519" t="s">
        <v>741</v>
      </c>
      <c r="K381" s="416" t="s">
        <v>127</v>
      </c>
      <c r="L381" s="15"/>
      <c r="M381" t="str">
        <f t="shared" si="25"/>
        <v/>
      </c>
      <c r="N381" t="str">
        <f t="shared" si="24"/>
        <v/>
      </c>
    </row>
    <row r="382" spans="1:14" ht="15" thickBot="1">
      <c r="A382" s="69">
        <v>46227</v>
      </c>
      <c r="B382" s="70" t="s">
        <v>282</v>
      </c>
      <c r="C382" s="72"/>
      <c r="D382" s="73"/>
      <c r="E382" s="70">
        <v>8.7899999999999991</v>
      </c>
      <c r="F382" s="72">
        <v>7425.06</v>
      </c>
      <c r="G382" s="74">
        <f>G381+F382</f>
        <v>3584036.5900000045</v>
      </c>
      <c r="H382" s="75" t="s">
        <v>13</v>
      </c>
      <c r="I382" s="344" t="s">
        <v>127</v>
      </c>
      <c r="J382" s="519" t="s">
        <v>738</v>
      </c>
      <c r="K382" s="416" t="s">
        <v>127</v>
      </c>
      <c r="L382" s="15"/>
      <c r="M382" t="str">
        <f t="shared" si="25"/>
        <v/>
      </c>
      <c r="N382" t="str">
        <f t="shared" si="24"/>
        <v/>
      </c>
    </row>
    <row r="383" spans="1:14" ht="15" thickBot="1">
      <c r="A383" s="69">
        <v>46227</v>
      </c>
      <c r="B383" s="70" t="s">
        <v>261</v>
      </c>
      <c r="C383" s="72"/>
      <c r="D383" s="73"/>
      <c r="E383" s="70"/>
      <c r="F383" s="72">
        <v>2475.02</v>
      </c>
      <c r="G383" s="74">
        <f>G382+F383</f>
        <v>3586511.6100000045</v>
      </c>
      <c r="H383" s="75" t="s">
        <v>13</v>
      </c>
      <c r="I383" s="344" t="s">
        <v>127</v>
      </c>
      <c r="J383" s="519" t="s">
        <v>738</v>
      </c>
      <c r="K383" s="416" t="s">
        <v>127</v>
      </c>
      <c r="L383" s="15"/>
      <c r="M383" t="str">
        <f t="shared" si="25"/>
        <v/>
      </c>
      <c r="N383" t="str">
        <f t="shared" si="24"/>
        <v/>
      </c>
    </row>
    <row r="384" spans="1:14" ht="15" thickBot="1">
      <c r="A384" s="10">
        <v>46227</v>
      </c>
      <c r="B384" s="298" t="s">
        <v>169</v>
      </c>
      <c r="C384" s="19">
        <v>0.4</v>
      </c>
      <c r="D384" s="30">
        <v>334.12</v>
      </c>
      <c r="E384" s="15"/>
      <c r="F384" s="15"/>
      <c r="G384" s="33">
        <f t="shared" ref="G384:G389" si="30">G383-D384</f>
        <v>3586177.4900000044</v>
      </c>
      <c r="H384" s="339" t="s">
        <v>25</v>
      </c>
      <c r="I384" s="15" t="s">
        <v>116</v>
      </c>
      <c r="J384" s="15" t="s">
        <v>117</v>
      </c>
      <c r="K384" s="15"/>
      <c r="L384" s="416" t="s">
        <v>437</v>
      </c>
      <c r="M384" t="str">
        <f t="shared" si="25"/>
        <v/>
      </c>
      <c r="N384" t="str">
        <f t="shared" si="24"/>
        <v/>
      </c>
    </row>
    <row r="385" spans="1:14" ht="15" thickBot="1">
      <c r="A385" s="10">
        <v>46227</v>
      </c>
      <c r="B385" s="298" t="s">
        <v>169</v>
      </c>
      <c r="C385" s="19">
        <v>0.13</v>
      </c>
      <c r="D385" s="30">
        <v>111.37</v>
      </c>
      <c r="E385" s="15"/>
      <c r="F385" s="15"/>
      <c r="G385" s="33">
        <f t="shared" si="30"/>
        <v>3586066.1200000043</v>
      </c>
      <c r="H385" s="339" t="s">
        <v>25</v>
      </c>
      <c r="I385" s="15" t="s">
        <v>116</v>
      </c>
      <c r="J385" s="15" t="s">
        <v>117</v>
      </c>
      <c r="K385" s="15"/>
      <c r="L385" s="416" t="s">
        <v>437</v>
      </c>
      <c r="M385" t="str">
        <f t="shared" si="25"/>
        <v/>
      </c>
      <c r="N385" t="str">
        <f t="shared" si="24"/>
        <v/>
      </c>
    </row>
    <row r="386" spans="1:14" ht="15" thickBot="1">
      <c r="A386" s="10">
        <v>46227</v>
      </c>
      <c r="B386" s="298" t="s">
        <v>169</v>
      </c>
      <c r="C386" s="19">
        <v>0.13</v>
      </c>
      <c r="D386" s="30">
        <v>111.37</v>
      </c>
      <c r="E386" s="15"/>
      <c r="F386" s="15"/>
      <c r="G386" s="33">
        <f t="shared" si="30"/>
        <v>3585954.7500000042</v>
      </c>
      <c r="H386" s="339" t="s">
        <v>25</v>
      </c>
      <c r="I386" s="15" t="s">
        <v>116</v>
      </c>
      <c r="J386" s="15" t="s">
        <v>117</v>
      </c>
      <c r="K386" s="15"/>
      <c r="L386" s="416" t="s">
        <v>437</v>
      </c>
      <c r="M386" t="str">
        <f t="shared" si="25"/>
        <v/>
      </c>
      <c r="N386" t="str">
        <f t="shared" si="24"/>
        <v/>
      </c>
    </row>
    <row r="387" spans="1:14" ht="15" thickBot="1">
      <c r="A387" s="10">
        <v>46227</v>
      </c>
      <c r="B387" s="298" t="s">
        <v>169</v>
      </c>
      <c r="C387" s="19">
        <v>0.04</v>
      </c>
      <c r="D387" s="30">
        <v>37.119999999999997</v>
      </c>
      <c r="E387" s="15"/>
      <c r="F387" s="15"/>
      <c r="G387" s="33">
        <f t="shared" si="30"/>
        <v>3585917.6300000041</v>
      </c>
      <c r="H387" s="339" t="s">
        <v>25</v>
      </c>
      <c r="I387" s="15" t="s">
        <v>116</v>
      </c>
      <c r="J387" s="15" t="s">
        <v>117</v>
      </c>
      <c r="K387" s="15"/>
      <c r="L387" s="416" t="s">
        <v>437</v>
      </c>
      <c r="M387" t="str">
        <f t="shared" si="25"/>
        <v/>
      </c>
      <c r="N387" t="str">
        <f t="shared" si="24"/>
        <v/>
      </c>
    </row>
    <row r="388" spans="1:14" ht="15" thickBot="1">
      <c r="A388" s="10">
        <v>46227</v>
      </c>
      <c r="B388" s="341" t="s">
        <v>279</v>
      </c>
      <c r="C388" s="19">
        <v>1640.34</v>
      </c>
      <c r="D388" s="30">
        <v>1217504.6399999999</v>
      </c>
      <c r="E388" s="15"/>
      <c r="F388" s="15"/>
      <c r="G388" s="33">
        <f t="shared" si="30"/>
        <v>2368412.9900000039</v>
      </c>
      <c r="H388" s="342" t="s">
        <v>10</v>
      </c>
      <c r="I388" s="344" t="s">
        <v>119</v>
      </c>
      <c r="J388" s="341" t="s">
        <v>120</v>
      </c>
      <c r="K388" s="15"/>
      <c r="L388" s="416" t="s">
        <v>437</v>
      </c>
      <c r="M388" t="str">
        <f t="shared" si="25"/>
        <v/>
      </c>
      <c r="N388" t="str">
        <f t="shared" ref="N388:N451" si="31">IF(C388="","",IF(C388=D388,"OJOOO",""))</f>
        <v/>
      </c>
    </row>
    <row r="389" spans="1:14" ht="15" thickBot="1">
      <c r="A389" s="10">
        <v>46227</v>
      </c>
      <c r="B389" s="341" t="s">
        <v>31</v>
      </c>
      <c r="C389" s="19">
        <v>4.32</v>
      </c>
      <c r="D389" s="30">
        <v>3652.51</v>
      </c>
      <c r="E389" s="15"/>
      <c r="F389" s="15"/>
      <c r="G389" s="33">
        <f t="shared" si="30"/>
        <v>2364760.4800000042</v>
      </c>
      <c r="H389" s="342" t="s">
        <v>25</v>
      </c>
      <c r="I389" s="344" t="s">
        <v>116</v>
      </c>
      <c r="J389" s="341" t="s">
        <v>117</v>
      </c>
      <c r="K389" s="15"/>
      <c r="L389" s="416" t="s">
        <v>437</v>
      </c>
      <c r="M389" t="str">
        <f t="shared" si="25"/>
        <v/>
      </c>
      <c r="N389" t="str">
        <f t="shared" si="31"/>
        <v/>
      </c>
    </row>
    <row r="390" spans="1:14" ht="15" thickBot="1">
      <c r="A390" s="69">
        <v>46228</v>
      </c>
      <c r="B390" s="70" t="s">
        <v>280</v>
      </c>
      <c r="C390" s="72"/>
      <c r="D390" s="73"/>
      <c r="E390" s="70">
        <v>41.12</v>
      </c>
      <c r="F390" s="72">
        <v>34739.279999999999</v>
      </c>
      <c r="G390" s="74">
        <f>G389+F390</f>
        <v>2399499.760000004</v>
      </c>
      <c r="H390" s="75" t="s">
        <v>13</v>
      </c>
      <c r="I390" s="344" t="s">
        <v>127</v>
      </c>
      <c r="J390" s="519" t="s">
        <v>738</v>
      </c>
      <c r="K390" s="416" t="s">
        <v>127</v>
      </c>
      <c r="L390" s="15"/>
      <c r="M390" t="str">
        <f t="shared" si="25"/>
        <v/>
      </c>
      <c r="N390" t="str">
        <f t="shared" si="31"/>
        <v/>
      </c>
    </row>
    <row r="391" spans="1:14" ht="15" thickBot="1">
      <c r="A391" s="69">
        <v>46228</v>
      </c>
      <c r="B391" s="70" t="s">
        <v>274</v>
      </c>
      <c r="C391" s="72"/>
      <c r="D391" s="73"/>
      <c r="E391" s="70">
        <v>14.69</v>
      </c>
      <c r="F391" s="72">
        <v>12410.04</v>
      </c>
      <c r="G391" s="74">
        <f>G390+F391</f>
        <v>2411909.800000004</v>
      </c>
      <c r="H391" s="75" t="s">
        <v>13</v>
      </c>
      <c r="I391" s="344" t="s">
        <v>127</v>
      </c>
      <c r="J391" s="519" t="s">
        <v>738</v>
      </c>
      <c r="K391" s="416" t="s">
        <v>127</v>
      </c>
      <c r="L391" s="15"/>
      <c r="M391" t="str">
        <f t="shared" si="25"/>
        <v/>
      </c>
      <c r="N391" t="str">
        <f t="shared" si="31"/>
        <v/>
      </c>
    </row>
    <row r="392" spans="1:14" ht="15" thickBot="1">
      <c r="A392" s="10">
        <v>46228</v>
      </c>
      <c r="B392" s="298" t="s">
        <v>169</v>
      </c>
      <c r="C392" s="19">
        <v>0.62</v>
      </c>
      <c r="D392" s="30">
        <v>521.08000000000004</v>
      </c>
      <c r="E392" s="15"/>
      <c r="F392" s="15"/>
      <c r="G392" s="33">
        <f>G391-D392</f>
        <v>2411388.7200000039</v>
      </c>
      <c r="H392" s="342" t="s">
        <v>25</v>
      </c>
      <c r="I392" s="15" t="s">
        <v>116</v>
      </c>
      <c r="J392" s="15" t="s">
        <v>117</v>
      </c>
      <c r="K392" s="15"/>
      <c r="L392" s="416" t="s">
        <v>437</v>
      </c>
      <c r="M392" t="str">
        <f t="shared" si="25"/>
        <v/>
      </c>
      <c r="N392" t="str">
        <f t="shared" si="31"/>
        <v/>
      </c>
    </row>
    <row r="393" spans="1:14" ht="15" thickBot="1">
      <c r="A393" s="10">
        <v>46228</v>
      </c>
      <c r="B393" s="298" t="s">
        <v>169</v>
      </c>
      <c r="C393" s="19">
        <v>0.22</v>
      </c>
      <c r="D393" s="30">
        <v>186.15</v>
      </c>
      <c r="E393" s="15"/>
      <c r="F393" s="15"/>
      <c r="G393" s="33">
        <f>G392-D393</f>
        <v>2411202.570000004</v>
      </c>
      <c r="H393" s="342" t="s">
        <v>25</v>
      </c>
      <c r="I393" s="15" t="s">
        <v>116</v>
      </c>
      <c r="J393" s="15" t="s">
        <v>117</v>
      </c>
      <c r="K393" s="15"/>
      <c r="L393" s="416" t="s">
        <v>437</v>
      </c>
      <c r="M393" t="str">
        <f t="shared" si="25"/>
        <v/>
      </c>
      <c r="N393" t="str">
        <f t="shared" si="31"/>
        <v/>
      </c>
    </row>
    <row r="394" spans="1:14" ht="15" thickBot="1">
      <c r="A394" s="69">
        <v>46229</v>
      </c>
      <c r="B394" s="70" t="s">
        <v>281</v>
      </c>
      <c r="C394" s="72"/>
      <c r="D394" s="73"/>
      <c r="E394" s="70">
        <v>55.82</v>
      </c>
      <c r="F394" s="72">
        <v>47158.13</v>
      </c>
      <c r="G394" s="74">
        <f>G393+F394</f>
        <v>2458360.7000000039</v>
      </c>
      <c r="H394" s="75" t="s">
        <v>13</v>
      </c>
      <c r="I394" s="344" t="s">
        <v>127</v>
      </c>
      <c r="J394" s="519" t="s">
        <v>738</v>
      </c>
      <c r="K394" s="416" t="s">
        <v>127</v>
      </c>
      <c r="L394" s="15"/>
      <c r="M394" t="str">
        <f t="shared" si="25"/>
        <v/>
      </c>
      <c r="N394" t="str">
        <f t="shared" si="31"/>
        <v/>
      </c>
    </row>
    <row r="395" spans="1:14" ht="15" thickBot="1">
      <c r="A395" s="69">
        <v>46229</v>
      </c>
      <c r="B395" s="70" t="s">
        <v>282</v>
      </c>
      <c r="C395" s="72"/>
      <c r="D395" s="73"/>
      <c r="E395" s="70">
        <v>23.5</v>
      </c>
      <c r="F395" s="72">
        <v>19849.07</v>
      </c>
      <c r="G395" s="74">
        <f>G394+F395</f>
        <v>2478209.7700000037</v>
      </c>
      <c r="H395" s="75" t="s">
        <v>13</v>
      </c>
      <c r="I395" s="344" t="s">
        <v>127</v>
      </c>
      <c r="J395" s="519" t="s">
        <v>738</v>
      </c>
      <c r="K395" s="416" t="s">
        <v>127</v>
      </c>
      <c r="L395" s="15"/>
      <c r="M395" t="str">
        <f t="shared" si="25"/>
        <v/>
      </c>
      <c r="N395" t="str">
        <f t="shared" si="31"/>
        <v/>
      </c>
    </row>
    <row r="396" spans="1:14" ht="15" thickBot="1">
      <c r="A396" s="10">
        <v>46229</v>
      </c>
      <c r="B396" s="298" t="s">
        <v>169</v>
      </c>
      <c r="C396" s="19">
        <v>0.84</v>
      </c>
      <c r="D396" s="30">
        <v>707.37</v>
      </c>
      <c r="E396" s="15"/>
      <c r="F396" s="15"/>
      <c r="G396" s="33">
        <f>G395-D396</f>
        <v>2477502.4000000036</v>
      </c>
      <c r="H396" s="342" t="s">
        <v>25</v>
      </c>
      <c r="I396" s="15" t="s">
        <v>116</v>
      </c>
      <c r="J396" s="15" t="s">
        <v>117</v>
      </c>
      <c r="K396" s="15"/>
      <c r="L396" s="416" t="s">
        <v>437</v>
      </c>
      <c r="M396" t="str">
        <f t="shared" si="25"/>
        <v/>
      </c>
      <c r="N396" t="str">
        <f t="shared" si="31"/>
        <v/>
      </c>
    </row>
    <row r="397" spans="1:14" ht="15" thickBot="1">
      <c r="A397" s="10">
        <v>46229</v>
      </c>
      <c r="B397" s="298" t="s">
        <v>169</v>
      </c>
      <c r="C397" s="19">
        <v>0.35</v>
      </c>
      <c r="D397" s="30">
        <v>297.73</v>
      </c>
      <c r="E397" s="15"/>
      <c r="F397" s="15"/>
      <c r="G397" s="33">
        <f>G396-D397</f>
        <v>2477204.6700000037</v>
      </c>
      <c r="H397" s="342" t="s">
        <v>25</v>
      </c>
      <c r="I397" s="15" t="s">
        <v>116</v>
      </c>
      <c r="J397" s="15" t="s">
        <v>117</v>
      </c>
      <c r="K397" s="15"/>
      <c r="L397" s="416" t="s">
        <v>437</v>
      </c>
      <c r="M397" t="str">
        <f t="shared" si="25"/>
        <v/>
      </c>
      <c r="N397" t="str">
        <f t="shared" si="31"/>
        <v/>
      </c>
    </row>
    <row r="398" spans="1:14" ht="15" thickBot="1">
      <c r="A398" s="69">
        <v>46230</v>
      </c>
      <c r="B398" s="70" t="s">
        <v>283</v>
      </c>
      <c r="C398" s="72"/>
      <c r="D398" s="73"/>
      <c r="E398" s="70">
        <v>11.75</v>
      </c>
      <c r="F398" s="72">
        <v>9928.0300000000007</v>
      </c>
      <c r="G398" s="74">
        <f>G397+F398</f>
        <v>2487132.7000000034</v>
      </c>
      <c r="H398" s="75" t="s">
        <v>13</v>
      </c>
      <c r="I398" s="344" t="s">
        <v>127</v>
      </c>
      <c r="J398" s="519" t="s">
        <v>738</v>
      </c>
      <c r="K398" s="416" t="s">
        <v>127</v>
      </c>
      <c r="L398" s="15"/>
      <c r="M398" t="str">
        <f t="shared" si="25"/>
        <v/>
      </c>
      <c r="N398" t="str">
        <f t="shared" si="31"/>
        <v/>
      </c>
    </row>
    <row r="399" spans="1:14" ht="15" thickBot="1">
      <c r="A399" s="69">
        <v>46230</v>
      </c>
      <c r="B399" s="70" t="s">
        <v>280</v>
      </c>
      <c r="C399" s="72"/>
      <c r="D399" s="73"/>
      <c r="E399" s="70">
        <v>10.039999999999999</v>
      </c>
      <c r="F399" s="72">
        <v>2482.0100000000002</v>
      </c>
      <c r="G399" s="74">
        <f>G398+F399</f>
        <v>2489614.7100000032</v>
      </c>
      <c r="H399" s="75" t="s">
        <v>13</v>
      </c>
      <c r="I399" s="344" t="s">
        <v>127</v>
      </c>
      <c r="J399" s="519" t="s">
        <v>738</v>
      </c>
      <c r="K399" s="416" t="s">
        <v>127</v>
      </c>
      <c r="L399" s="15"/>
      <c r="M399" t="str">
        <f t="shared" si="25"/>
        <v/>
      </c>
      <c r="N399" t="str">
        <f t="shared" si="31"/>
        <v/>
      </c>
    </row>
    <row r="400" spans="1:14" ht="15" thickBot="1">
      <c r="A400" s="10">
        <v>46230</v>
      </c>
      <c r="B400" s="298" t="s">
        <v>169</v>
      </c>
      <c r="C400" s="19">
        <v>0.18</v>
      </c>
      <c r="D400" s="30">
        <v>148.91999999999999</v>
      </c>
      <c r="E400" s="15"/>
      <c r="F400" s="15"/>
      <c r="G400" s="20">
        <f>G399-D400</f>
        <v>2489465.7900000033</v>
      </c>
      <c r="H400" s="342" t="s">
        <v>25</v>
      </c>
      <c r="I400" s="15" t="s">
        <v>116</v>
      </c>
      <c r="J400" s="15" t="s">
        <v>117</v>
      </c>
      <c r="K400" s="15"/>
      <c r="L400" s="416" t="s">
        <v>437</v>
      </c>
      <c r="M400" t="str">
        <f t="shared" si="25"/>
        <v/>
      </c>
      <c r="N400" t="str">
        <f t="shared" si="31"/>
        <v/>
      </c>
    </row>
    <row r="401" spans="1:14" ht="15" thickBot="1">
      <c r="A401" s="10">
        <v>46230</v>
      </c>
      <c r="B401" s="298" t="s">
        <v>169</v>
      </c>
      <c r="C401" s="19">
        <v>0.04</v>
      </c>
      <c r="D401" s="30">
        <v>37.229999999999997</v>
      </c>
      <c r="E401" s="15"/>
      <c r="F401" s="15"/>
      <c r="G401" s="33">
        <f>G400-D401</f>
        <v>2489428.5600000033</v>
      </c>
      <c r="H401" s="342" t="s">
        <v>25</v>
      </c>
      <c r="I401" s="15" t="s">
        <v>116</v>
      </c>
      <c r="J401" s="15" t="s">
        <v>117</v>
      </c>
      <c r="K401" s="15"/>
      <c r="L401" s="416" t="s">
        <v>437</v>
      </c>
      <c r="M401" t="str">
        <f t="shared" si="25"/>
        <v/>
      </c>
      <c r="N401" t="str">
        <f t="shared" si="31"/>
        <v/>
      </c>
    </row>
    <row r="402" spans="1:14" ht="15" thickBot="1">
      <c r="A402" s="69">
        <v>46230</v>
      </c>
      <c r="B402" s="70" t="s">
        <v>284</v>
      </c>
      <c r="C402" s="72"/>
      <c r="D402" s="73"/>
      <c r="E402" s="70">
        <v>35.11</v>
      </c>
      <c r="F402" s="72">
        <v>29660</v>
      </c>
      <c r="G402" s="74">
        <f>G401+F402</f>
        <v>2519088.5600000033</v>
      </c>
      <c r="H402" s="75" t="s">
        <v>285</v>
      </c>
      <c r="I402" s="344" t="s">
        <v>127</v>
      </c>
      <c r="J402" s="519" t="s">
        <v>738</v>
      </c>
      <c r="K402" s="416" t="s">
        <v>127</v>
      </c>
      <c r="L402" s="15"/>
      <c r="M402" t="str">
        <f t="shared" si="25"/>
        <v/>
      </c>
      <c r="N402" t="str">
        <f t="shared" si="31"/>
        <v/>
      </c>
    </row>
    <row r="403" spans="1:14" ht="15" thickBot="1">
      <c r="A403" s="10">
        <v>46230</v>
      </c>
      <c r="B403" s="338" t="s">
        <v>276</v>
      </c>
      <c r="C403" s="19">
        <v>43.84</v>
      </c>
      <c r="D403" s="30">
        <v>37037.25</v>
      </c>
      <c r="E403" s="15"/>
      <c r="F403" s="15"/>
      <c r="G403" s="33">
        <f>G402-D403</f>
        <v>2482051.3100000033</v>
      </c>
      <c r="H403" s="342" t="s">
        <v>25</v>
      </c>
      <c r="I403" s="344" t="s">
        <v>116</v>
      </c>
      <c r="J403" s="341" t="s">
        <v>117</v>
      </c>
      <c r="K403" s="15"/>
      <c r="L403" s="416" t="s">
        <v>437</v>
      </c>
      <c r="M403" t="str">
        <f t="shared" si="25"/>
        <v/>
      </c>
      <c r="N403" t="str">
        <f t="shared" si="31"/>
        <v/>
      </c>
    </row>
    <row r="404" spans="1:14" ht="15" thickBot="1">
      <c r="A404" s="69">
        <v>46231</v>
      </c>
      <c r="B404" s="70" t="s">
        <v>281</v>
      </c>
      <c r="C404" s="72"/>
      <c r="D404" s="73"/>
      <c r="E404" s="70">
        <v>29.38</v>
      </c>
      <c r="F404" s="72">
        <v>24820.07</v>
      </c>
      <c r="G404" s="74">
        <f>G403+F404</f>
        <v>2506871.3800000031</v>
      </c>
      <c r="H404" s="75" t="s">
        <v>13</v>
      </c>
      <c r="I404" s="344" t="s">
        <v>127</v>
      </c>
      <c r="J404" s="519" t="s">
        <v>738</v>
      </c>
      <c r="K404" s="416" t="s">
        <v>127</v>
      </c>
      <c r="L404" s="15"/>
      <c r="M404" t="str">
        <f t="shared" ref="M404:M467" si="32">IF(E404="","",IF(E404=F404,"OJOOO",""))</f>
        <v/>
      </c>
      <c r="N404" t="str">
        <f t="shared" si="31"/>
        <v/>
      </c>
    </row>
    <row r="405" spans="1:14" ht="15" thickBot="1">
      <c r="A405" s="69">
        <v>46231</v>
      </c>
      <c r="B405" s="70" t="s">
        <v>286</v>
      </c>
      <c r="C405" s="72"/>
      <c r="D405" s="73"/>
      <c r="E405" s="70">
        <v>23.51</v>
      </c>
      <c r="F405" s="72">
        <v>19856.060000000001</v>
      </c>
      <c r="G405" s="74">
        <f>G404+F405</f>
        <v>2526727.4400000032</v>
      </c>
      <c r="H405" s="75" t="s">
        <v>13</v>
      </c>
      <c r="I405" s="344" t="s">
        <v>127</v>
      </c>
      <c r="J405" s="519" t="s">
        <v>738</v>
      </c>
      <c r="K405" s="416" t="s">
        <v>127</v>
      </c>
      <c r="L405" s="15"/>
      <c r="M405" t="str">
        <f t="shared" si="32"/>
        <v/>
      </c>
      <c r="N405" t="str">
        <f t="shared" si="31"/>
        <v/>
      </c>
    </row>
    <row r="406" spans="1:14" ht="15" thickBot="1">
      <c r="A406" s="69">
        <v>46231</v>
      </c>
      <c r="B406" s="70" t="s">
        <v>287</v>
      </c>
      <c r="C406" s="72"/>
      <c r="D406" s="73"/>
      <c r="E406" s="70">
        <v>20.65</v>
      </c>
      <c r="F406" s="72">
        <v>17442.36</v>
      </c>
      <c r="G406" s="74">
        <f>G405+F406</f>
        <v>2544169.8000000031</v>
      </c>
      <c r="H406" s="75" t="s">
        <v>13</v>
      </c>
      <c r="I406" s="344" t="s">
        <v>127</v>
      </c>
      <c r="J406" s="519" t="s">
        <v>738</v>
      </c>
      <c r="K406" s="416" t="s">
        <v>127</v>
      </c>
      <c r="L406" s="15"/>
      <c r="M406" t="str">
        <f t="shared" si="32"/>
        <v/>
      </c>
      <c r="N406" t="str">
        <f t="shared" si="31"/>
        <v/>
      </c>
    </row>
    <row r="407" spans="1:14" ht="15" thickBot="1">
      <c r="A407" s="10">
        <v>46231</v>
      </c>
      <c r="B407" s="298" t="s">
        <v>169</v>
      </c>
      <c r="C407" s="19">
        <v>0.44</v>
      </c>
      <c r="D407" s="30">
        <v>372.3</v>
      </c>
      <c r="E407" s="15"/>
      <c r="F407" s="15"/>
      <c r="G407" s="33">
        <f>G406-D407</f>
        <v>2543797.5000000033</v>
      </c>
      <c r="H407" s="342" t="s">
        <v>25</v>
      </c>
      <c r="I407" s="15" t="s">
        <v>116</v>
      </c>
      <c r="J407" s="15" t="s">
        <v>117</v>
      </c>
      <c r="K407" s="15"/>
      <c r="L407" s="416" t="s">
        <v>437</v>
      </c>
      <c r="M407" t="str">
        <f t="shared" si="32"/>
        <v/>
      </c>
      <c r="N407" t="str">
        <f t="shared" si="31"/>
        <v/>
      </c>
    </row>
    <row r="408" spans="1:14" ht="15" thickBot="1">
      <c r="A408" s="10">
        <v>46231</v>
      </c>
      <c r="B408" s="298" t="s">
        <v>169</v>
      </c>
      <c r="C408" s="19">
        <v>0.35</v>
      </c>
      <c r="D408" s="30">
        <v>297.83999999999997</v>
      </c>
      <c r="E408" s="15"/>
      <c r="F408" s="15"/>
      <c r="G408" s="33">
        <f>G407-D408</f>
        <v>2543499.6600000034</v>
      </c>
      <c r="H408" s="342" t="s">
        <v>25</v>
      </c>
      <c r="I408" s="15" t="s">
        <v>116</v>
      </c>
      <c r="J408" s="15" t="s">
        <v>117</v>
      </c>
      <c r="K408" s="15"/>
      <c r="L408" s="416" t="s">
        <v>437</v>
      </c>
      <c r="M408" t="str">
        <f t="shared" si="32"/>
        <v/>
      </c>
      <c r="N408" t="str">
        <f t="shared" si="31"/>
        <v/>
      </c>
    </row>
    <row r="409" spans="1:14" ht="15" thickBot="1">
      <c r="A409" s="343">
        <v>46231</v>
      </c>
      <c r="B409" s="298" t="s">
        <v>169</v>
      </c>
      <c r="C409" s="19">
        <v>0.31</v>
      </c>
      <c r="D409" s="30">
        <v>261.63</v>
      </c>
      <c r="E409" s="15"/>
      <c r="F409" s="15"/>
      <c r="G409" s="33">
        <f>G408-D409</f>
        <v>2543238.0300000035</v>
      </c>
      <c r="H409" s="342" t="s">
        <v>25</v>
      </c>
      <c r="I409" s="15" t="s">
        <v>116</v>
      </c>
      <c r="J409" s="15" t="s">
        <v>117</v>
      </c>
      <c r="K409" s="15"/>
      <c r="L409" s="416" t="s">
        <v>437</v>
      </c>
      <c r="M409" t="str">
        <f t="shared" si="32"/>
        <v/>
      </c>
      <c r="N409" t="str">
        <f t="shared" si="31"/>
        <v/>
      </c>
    </row>
    <row r="410" spans="1:14" ht="15" thickBot="1">
      <c r="A410" s="10">
        <v>46231</v>
      </c>
      <c r="B410" s="341" t="s">
        <v>288</v>
      </c>
      <c r="C410" s="19">
        <v>8.91</v>
      </c>
      <c r="D410" s="30">
        <v>7524.67</v>
      </c>
      <c r="E410" s="15"/>
      <c r="F410" s="15"/>
      <c r="G410" s="33">
        <f>G409-D410</f>
        <v>2535713.3600000036</v>
      </c>
      <c r="H410" s="342" t="s">
        <v>13</v>
      </c>
      <c r="I410" s="344" t="s">
        <v>116</v>
      </c>
      <c r="J410" s="341" t="s">
        <v>20</v>
      </c>
      <c r="K410" s="15"/>
      <c r="L410" s="416" t="s">
        <v>437</v>
      </c>
      <c r="M410" t="str">
        <f t="shared" si="32"/>
        <v/>
      </c>
      <c r="N410" t="str">
        <f t="shared" si="31"/>
        <v/>
      </c>
    </row>
    <row r="411" spans="1:14" ht="15" thickBot="1">
      <c r="A411" s="69">
        <v>46231</v>
      </c>
      <c r="B411" s="70" t="s">
        <v>110</v>
      </c>
      <c r="C411" s="72"/>
      <c r="D411" s="73"/>
      <c r="E411" s="72">
        <v>3516.14</v>
      </c>
      <c r="F411" s="72">
        <v>2974917.22</v>
      </c>
      <c r="G411" s="74">
        <f>G410+F411</f>
        <v>5510630.5800000038</v>
      </c>
      <c r="H411" s="75" t="s">
        <v>10</v>
      </c>
      <c r="I411" s="15" t="s">
        <v>127</v>
      </c>
      <c r="J411" s="516" t="s">
        <v>737</v>
      </c>
      <c r="K411" s="416" t="s">
        <v>127</v>
      </c>
      <c r="L411" s="416"/>
      <c r="M411" t="str">
        <f t="shared" si="32"/>
        <v/>
      </c>
      <c r="N411" t="str">
        <f t="shared" si="31"/>
        <v/>
      </c>
    </row>
    <row r="412" spans="1:14" ht="15" thickBot="1">
      <c r="A412" s="10">
        <v>46231</v>
      </c>
      <c r="B412" s="345" t="s">
        <v>34</v>
      </c>
      <c r="C412" s="19">
        <v>16.29</v>
      </c>
      <c r="D412" s="30">
        <v>13786.55</v>
      </c>
      <c r="E412" s="102"/>
      <c r="F412" s="15"/>
      <c r="G412" s="33">
        <f>G411-D412</f>
        <v>5496844.030000004</v>
      </c>
      <c r="H412" s="346" t="s">
        <v>10</v>
      </c>
      <c r="I412" s="15" t="s">
        <v>116</v>
      </c>
      <c r="J412" s="117" t="s">
        <v>117</v>
      </c>
      <c r="K412" s="15"/>
      <c r="L412" s="416" t="s">
        <v>437</v>
      </c>
      <c r="M412" t="str">
        <f t="shared" si="32"/>
        <v/>
      </c>
      <c r="N412" t="str">
        <f t="shared" si="31"/>
        <v/>
      </c>
    </row>
    <row r="413" spans="1:14" ht="15" thickBot="1">
      <c r="A413" s="10">
        <v>46231</v>
      </c>
      <c r="B413" s="345" t="s">
        <v>31</v>
      </c>
      <c r="C413" s="19">
        <v>0.05</v>
      </c>
      <c r="D413" s="30">
        <v>41.35</v>
      </c>
      <c r="E413" s="15"/>
      <c r="F413" s="15"/>
      <c r="G413" s="33">
        <f>G412-D413</f>
        <v>5496802.6800000044</v>
      </c>
      <c r="H413" s="346" t="s">
        <v>25</v>
      </c>
      <c r="I413" s="15" t="s">
        <v>116</v>
      </c>
      <c r="J413" s="117" t="s">
        <v>117</v>
      </c>
      <c r="K413" s="15"/>
      <c r="L413" s="416" t="s">
        <v>437</v>
      </c>
      <c r="M413" t="str">
        <f t="shared" si="32"/>
        <v/>
      </c>
      <c r="N413" t="str">
        <f t="shared" si="31"/>
        <v/>
      </c>
    </row>
    <row r="414" spans="1:14" ht="15" thickBot="1">
      <c r="A414" s="10">
        <v>46231</v>
      </c>
      <c r="B414" s="345" t="s">
        <v>289</v>
      </c>
      <c r="C414" s="19">
        <v>877.95</v>
      </c>
      <c r="D414" s="30">
        <v>742810.5</v>
      </c>
      <c r="E414" s="15"/>
      <c r="F414" s="15"/>
      <c r="G414" s="33">
        <f>G413-D414</f>
        <v>4753992.1800000044</v>
      </c>
      <c r="H414" s="347" t="s">
        <v>10</v>
      </c>
      <c r="I414" s="15" t="s">
        <v>119</v>
      </c>
      <c r="J414" s="417" t="s">
        <v>446</v>
      </c>
      <c r="K414" s="15"/>
      <c r="L414" s="416" t="s">
        <v>437</v>
      </c>
      <c r="M414" t="str">
        <f t="shared" si="32"/>
        <v/>
      </c>
      <c r="N414" t="str">
        <f t="shared" si="31"/>
        <v/>
      </c>
    </row>
    <row r="415" spans="1:14" ht="15" thickBot="1">
      <c r="A415" s="10">
        <v>46231</v>
      </c>
      <c r="B415" s="348" t="s">
        <v>31</v>
      </c>
      <c r="C415" s="19">
        <v>2.63</v>
      </c>
      <c r="D415" s="30">
        <v>2228.4299999999998</v>
      </c>
      <c r="E415" s="15"/>
      <c r="F415" s="15"/>
      <c r="G415" s="33">
        <f>G414-D415</f>
        <v>4751763.7500000047</v>
      </c>
      <c r="H415" s="347" t="s">
        <v>25</v>
      </c>
      <c r="I415" s="15" t="s">
        <v>116</v>
      </c>
      <c r="J415" s="117" t="s">
        <v>117</v>
      </c>
      <c r="K415" s="15"/>
      <c r="L415" s="416" t="s">
        <v>437</v>
      </c>
      <c r="M415" t="str">
        <f t="shared" si="32"/>
        <v/>
      </c>
      <c r="N415" t="str">
        <f t="shared" si="31"/>
        <v/>
      </c>
    </row>
    <row r="416" spans="1:14" ht="15" thickBot="1">
      <c r="A416" s="69">
        <v>46232</v>
      </c>
      <c r="B416" s="70" t="s">
        <v>283</v>
      </c>
      <c r="C416" s="72"/>
      <c r="D416" s="73"/>
      <c r="E416" s="70">
        <v>32.29</v>
      </c>
      <c r="F416" s="72">
        <v>27319.33</v>
      </c>
      <c r="G416" s="74">
        <f>G415+F416</f>
        <v>4779083.0800000047</v>
      </c>
      <c r="H416" s="75" t="s">
        <v>13</v>
      </c>
      <c r="I416" s="15" t="s">
        <v>127</v>
      </c>
      <c r="J416" s="516" t="s">
        <v>738</v>
      </c>
      <c r="K416" s="416" t="s">
        <v>127</v>
      </c>
      <c r="L416" s="15"/>
      <c r="M416" t="str">
        <f t="shared" si="32"/>
        <v/>
      </c>
      <c r="N416" t="str">
        <f t="shared" si="31"/>
        <v/>
      </c>
    </row>
    <row r="417" spans="1:14" ht="15" thickBot="1">
      <c r="A417" s="69">
        <v>46232</v>
      </c>
      <c r="B417" s="70" t="s">
        <v>290</v>
      </c>
      <c r="C417" s="72"/>
      <c r="D417" s="73"/>
      <c r="E417" s="70">
        <v>20.55</v>
      </c>
      <c r="F417" s="72">
        <v>17385.419999999998</v>
      </c>
      <c r="G417" s="74">
        <f t="shared" ref="G417:G418" si="33">G416+F417</f>
        <v>4796468.5000000047</v>
      </c>
      <c r="H417" s="75" t="s">
        <v>13</v>
      </c>
      <c r="I417" s="15" t="s">
        <v>127</v>
      </c>
      <c r="J417" s="516" t="s">
        <v>738</v>
      </c>
      <c r="K417" s="416" t="s">
        <v>127</v>
      </c>
      <c r="L417" s="15"/>
      <c r="M417" t="str">
        <f t="shared" si="32"/>
        <v/>
      </c>
      <c r="N417" t="str">
        <f t="shared" si="31"/>
        <v/>
      </c>
    </row>
    <row r="418" spans="1:14" ht="15" thickBot="1">
      <c r="A418" s="69">
        <v>46232</v>
      </c>
      <c r="B418" s="70" t="s">
        <v>291</v>
      </c>
      <c r="C418" s="72"/>
      <c r="D418" s="73"/>
      <c r="E418" s="70">
        <v>5.87</v>
      </c>
      <c r="F418" s="72">
        <v>4965.92</v>
      </c>
      <c r="G418" s="74">
        <f t="shared" si="33"/>
        <v>4801434.4200000046</v>
      </c>
      <c r="H418" s="75" t="s">
        <v>13</v>
      </c>
      <c r="I418" s="15" t="s">
        <v>127</v>
      </c>
      <c r="J418" s="516" t="s">
        <v>741</v>
      </c>
      <c r="K418" s="416" t="s">
        <v>127</v>
      </c>
      <c r="L418" s="15"/>
      <c r="M418" t="str">
        <f t="shared" si="32"/>
        <v/>
      </c>
      <c r="N418" t="str">
        <f t="shared" si="31"/>
        <v/>
      </c>
    </row>
    <row r="419" spans="1:14" ht="15" thickBot="1">
      <c r="A419" s="10">
        <v>46232</v>
      </c>
      <c r="B419" s="298" t="s">
        <v>169</v>
      </c>
      <c r="C419" s="19">
        <v>0.48</v>
      </c>
      <c r="D419" s="30">
        <v>409.78</v>
      </c>
      <c r="E419" s="15"/>
      <c r="F419" s="15"/>
      <c r="G419" s="33">
        <f>G418-D419</f>
        <v>4801024.6400000043</v>
      </c>
      <c r="H419" s="347" t="s">
        <v>25</v>
      </c>
      <c r="I419" s="15" t="s">
        <v>116</v>
      </c>
      <c r="J419" s="117" t="s">
        <v>117</v>
      </c>
      <c r="K419" s="15"/>
      <c r="L419" s="416" t="s">
        <v>437</v>
      </c>
      <c r="M419" t="str">
        <f t="shared" si="32"/>
        <v/>
      </c>
      <c r="N419" t="str">
        <f t="shared" si="31"/>
        <v/>
      </c>
    </row>
    <row r="420" spans="1:14" ht="15" thickBot="1">
      <c r="A420" s="10">
        <v>46232</v>
      </c>
      <c r="B420" s="298" t="s">
        <v>169</v>
      </c>
      <c r="C420" s="19">
        <v>0.31</v>
      </c>
      <c r="D420" s="30">
        <v>260.77999999999997</v>
      </c>
      <c r="E420" s="15"/>
      <c r="F420" s="15"/>
      <c r="G420" s="33">
        <f t="shared" ref="G420:G421" si="34">G419-D420</f>
        <v>4800763.8600000041</v>
      </c>
      <c r="H420" s="347" t="s">
        <v>25</v>
      </c>
      <c r="I420" s="15" t="s">
        <v>116</v>
      </c>
      <c r="J420" s="117" t="s">
        <v>117</v>
      </c>
      <c r="K420" s="15"/>
      <c r="L420" s="416" t="s">
        <v>437</v>
      </c>
      <c r="M420" t="str">
        <f t="shared" si="32"/>
        <v/>
      </c>
      <c r="N420" t="str">
        <f t="shared" si="31"/>
        <v/>
      </c>
    </row>
    <row r="421" spans="1:14" ht="15" thickBot="1">
      <c r="A421" s="10">
        <v>46232</v>
      </c>
      <c r="B421" s="298" t="s">
        <v>169</v>
      </c>
      <c r="C421" s="19">
        <v>0.09</v>
      </c>
      <c r="D421" s="30">
        <v>74.48</v>
      </c>
      <c r="E421" s="15"/>
      <c r="F421" s="15"/>
      <c r="G421" s="33">
        <f t="shared" si="34"/>
        <v>4800689.3800000036</v>
      </c>
      <c r="H421" s="347" t="s">
        <v>25</v>
      </c>
      <c r="I421" s="15" t="s">
        <v>116</v>
      </c>
      <c r="J421" s="117" t="s">
        <v>117</v>
      </c>
      <c r="K421" s="15"/>
      <c r="L421" s="416" t="s">
        <v>437</v>
      </c>
      <c r="M421" t="str">
        <f t="shared" si="32"/>
        <v/>
      </c>
      <c r="N421" t="str">
        <f t="shared" si="31"/>
        <v/>
      </c>
    </row>
    <row r="422" spans="1:14" ht="15" thickBot="1">
      <c r="A422" s="10">
        <v>46232</v>
      </c>
      <c r="B422" s="348" t="s">
        <v>292</v>
      </c>
      <c r="C422" s="19">
        <v>439.8</v>
      </c>
      <c r="D422" s="30">
        <v>372115</v>
      </c>
      <c r="E422" s="15"/>
      <c r="F422" s="15"/>
      <c r="G422" s="33">
        <f>G421-D422</f>
        <v>4428574.3800000036</v>
      </c>
      <c r="H422" s="347" t="s">
        <v>10</v>
      </c>
      <c r="I422" s="15" t="s">
        <v>119</v>
      </c>
      <c r="J422" s="417" t="s">
        <v>447</v>
      </c>
      <c r="K422" s="15"/>
      <c r="L422" s="416" t="s">
        <v>437</v>
      </c>
      <c r="M422" t="str">
        <f t="shared" si="32"/>
        <v/>
      </c>
      <c r="N422" t="str">
        <f t="shared" si="31"/>
        <v/>
      </c>
    </row>
    <row r="423" spans="1:14" ht="15" thickBot="1">
      <c r="A423" s="10">
        <v>46232</v>
      </c>
      <c r="B423" s="348" t="s">
        <v>31</v>
      </c>
      <c r="C423" s="19">
        <v>1.32</v>
      </c>
      <c r="D423" s="30">
        <v>1116.3399999999999</v>
      </c>
      <c r="E423" s="15"/>
      <c r="F423" s="15"/>
      <c r="G423" s="33">
        <f>G422-D423</f>
        <v>4427458.0400000038</v>
      </c>
      <c r="H423" s="347" t="s">
        <v>25</v>
      </c>
      <c r="I423" s="15" t="s">
        <v>116</v>
      </c>
      <c r="J423" s="117" t="s">
        <v>117</v>
      </c>
      <c r="K423" s="15"/>
      <c r="L423" s="416" t="s">
        <v>437</v>
      </c>
      <c r="M423" t="str">
        <f t="shared" si="32"/>
        <v/>
      </c>
      <c r="N423" t="str">
        <f t="shared" si="31"/>
        <v/>
      </c>
    </row>
    <row r="424" spans="1:14" ht="15" thickBot="1">
      <c r="A424" s="69">
        <v>46233</v>
      </c>
      <c r="B424" s="70" t="s">
        <v>293</v>
      </c>
      <c r="C424" s="72"/>
      <c r="D424" s="73"/>
      <c r="E424" s="70">
        <v>40.44</v>
      </c>
      <c r="F424" s="72">
        <v>34824.379999999997</v>
      </c>
      <c r="G424" s="74">
        <f>G423+F424</f>
        <v>4462282.4200000037</v>
      </c>
      <c r="H424" s="75" t="s">
        <v>13</v>
      </c>
      <c r="I424" s="391" t="s">
        <v>127</v>
      </c>
      <c r="J424" s="516" t="s">
        <v>738</v>
      </c>
      <c r="K424" s="416" t="s">
        <v>127</v>
      </c>
      <c r="L424" s="15"/>
      <c r="M424" t="str">
        <f t="shared" si="32"/>
        <v/>
      </c>
      <c r="N424" t="str">
        <f t="shared" si="31"/>
        <v/>
      </c>
    </row>
    <row r="425" spans="1:14" ht="15" thickBot="1">
      <c r="A425" s="69">
        <v>46233</v>
      </c>
      <c r="B425" s="70" t="s">
        <v>294</v>
      </c>
      <c r="C425" s="72"/>
      <c r="D425" s="73"/>
      <c r="E425" s="70">
        <v>8.66</v>
      </c>
      <c r="F425" s="72">
        <v>7458.49</v>
      </c>
      <c r="G425" s="74">
        <f>G424+F425</f>
        <v>4469740.9100000039</v>
      </c>
      <c r="H425" s="75" t="s">
        <v>13</v>
      </c>
      <c r="I425" s="393" t="s">
        <v>127</v>
      </c>
      <c r="J425" s="516" t="s">
        <v>738</v>
      </c>
      <c r="K425" s="416" t="s">
        <v>127</v>
      </c>
      <c r="L425" s="15"/>
      <c r="M425" t="str">
        <f t="shared" si="32"/>
        <v/>
      </c>
      <c r="N425" t="str">
        <f t="shared" si="31"/>
        <v/>
      </c>
    </row>
    <row r="426" spans="1:14" ht="15" thickBot="1">
      <c r="A426" s="69">
        <v>46233</v>
      </c>
      <c r="B426" s="70" t="s">
        <v>295</v>
      </c>
      <c r="C426" s="72"/>
      <c r="D426" s="73"/>
      <c r="E426" s="70">
        <v>5.77</v>
      </c>
      <c r="F426" s="72">
        <v>4969.8</v>
      </c>
      <c r="G426" s="74">
        <f>G425+F426</f>
        <v>4474710.7100000037</v>
      </c>
      <c r="H426" s="75" t="s">
        <v>13</v>
      </c>
      <c r="I426" s="392" t="s">
        <v>127</v>
      </c>
      <c r="J426" s="516" t="s">
        <v>741</v>
      </c>
      <c r="K426" s="416" t="s">
        <v>127</v>
      </c>
      <c r="L426" s="15"/>
      <c r="M426" t="str">
        <f t="shared" si="32"/>
        <v/>
      </c>
      <c r="N426" t="str">
        <f t="shared" si="31"/>
        <v/>
      </c>
    </row>
    <row r="427" spans="1:14" ht="15" thickBot="1">
      <c r="A427" s="10">
        <v>46233</v>
      </c>
      <c r="B427" s="15" t="s">
        <v>169</v>
      </c>
      <c r="C427" s="19">
        <v>0.61</v>
      </c>
      <c r="D427" s="30">
        <v>522.36</v>
      </c>
      <c r="E427" s="15"/>
      <c r="F427" s="15"/>
      <c r="G427" s="33">
        <f>G426-D427</f>
        <v>4474188.3500000034</v>
      </c>
      <c r="H427" s="8" t="s">
        <v>25</v>
      </c>
      <c r="I427" s="15" t="s">
        <v>116</v>
      </c>
      <c r="J427" s="117" t="s">
        <v>117</v>
      </c>
      <c r="K427" s="15"/>
      <c r="L427" s="416" t="s">
        <v>437</v>
      </c>
      <c r="M427" t="str">
        <f t="shared" si="32"/>
        <v/>
      </c>
      <c r="N427" t="str">
        <f t="shared" si="31"/>
        <v/>
      </c>
    </row>
    <row r="428" spans="1:14" ht="15" thickBot="1">
      <c r="A428" s="10">
        <v>46233</v>
      </c>
      <c r="B428" s="15" t="s">
        <v>169</v>
      </c>
      <c r="C428" s="19">
        <v>0.13</v>
      </c>
      <c r="D428" s="30">
        <v>111.87</v>
      </c>
      <c r="E428" s="15"/>
      <c r="F428" s="15"/>
      <c r="G428" s="33">
        <f t="shared" ref="G428:G429" si="35">G427-D428</f>
        <v>4474076.4800000032</v>
      </c>
      <c r="H428" s="8" t="s">
        <v>25</v>
      </c>
      <c r="I428" s="15" t="s">
        <v>116</v>
      </c>
      <c r="J428" s="117" t="s">
        <v>117</v>
      </c>
      <c r="K428" s="15"/>
      <c r="L428" s="416" t="s">
        <v>437</v>
      </c>
      <c r="M428" t="str">
        <f t="shared" si="32"/>
        <v/>
      </c>
      <c r="N428" t="str">
        <f t="shared" si="31"/>
        <v/>
      </c>
    </row>
    <row r="429" spans="1:14" ht="15" thickBot="1">
      <c r="A429" s="10">
        <v>46233</v>
      </c>
      <c r="B429" s="15" t="s">
        <v>169</v>
      </c>
      <c r="C429" s="19">
        <v>0.09</v>
      </c>
      <c r="D429" s="30">
        <v>74.540000000000006</v>
      </c>
      <c r="E429" s="15"/>
      <c r="F429" s="15"/>
      <c r="G429" s="33">
        <f t="shared" si="35"/>
        <v>4474001.9400000032</v>
      </c>
      <c r="H429" s="8" t="s">
        <v>25</v>
      </c>
      <c r="I429" s="15" t="s">
        <v>116</v>
      </c>
      <c r="J429" s="117" t="s">
        <v>117</v>
      </c>
      <c r="K429" s="15"/>
      <c r="L429" s="416" t="s">
        <v>437</v>
      </c>
      <c r="M429" t="str">
        <f t="shared" si="32"/>
        <v/>
      </c>
      <c r="N429" t="str">
        <f t="shared" si="31"/>
        <v/>
      </c>
    </row>
    <row r="430" spans="1:14" ht="15" thickBot="1">
      <c r="A430" s="69">
        <v>46234</v>
      </c>
      <c r="B430" s="70" t="s">
        <v>296</v>
      </c>
      <c r="C430" s="72"/>
      <c r="D430" s="73"/>
      <c r="E430" s="70">
        <v>20.28</v>
      </c>
      <c r="F430" s="72">
        <v>17468.86</v>
      </c>
      <c r="G430" s="74">
        <f>G429+F430</f>
        <v>4491470.8000000035</v>
      </c>
      <c r="H430" s="75" t="s">
        <v>13</v>
      </c>
      <c r="I430" s="391" t="s">
        <v>127</v>
      </c>
      <c r="J430" s="516" t="s">
        <v>738</v>
      </c>
      <c r="K430" s="416" t="s">
        <v>127</v>
      </c>
      <c r="L430" s="15"/>
      <c r="M430" t="str">
        <f t="shared" si="32"/>
        <v/>
      </c>
      <c r="N430" t="str">
        <f t="shared" si="31"/>
        <v/>
      </c>
    </row>
    <row r="431" spans="1:14" ht="15" thickBot="1">
      <c r="A431" s="69">
        <v>46234</v>
      </c>
      <c r="B431" s="70" t="s">
        <v>298</v>
      </c>
      <c r="C431" s="72"/>
      <c r="D431" s="73"/>
      <c r="E431" s="70">
        <v>17.39</v>
      </c>
      <c r="F431" s="72">
        <v>14973.31</v>
      </c>
      <c r="G431" s="74">
        <f t="shared" ref="G431:G432" si="36">G430+F431</f>
        <v>4506444.1100000031</v>
      </c>
      <c r="H431" s="75" t="s">
        <v>13</v>
      </c>
      <c r="I431" s="391" t="s">
        <v>127</v>
      </c>
      <c r="J431" s="516" t="s">
        <v>741</v>
      </c>
      <c r="K431" s="416" t="s">
        <v>127</v>
      </c>
      <c r="L431" s="15"/>
      <c r="M431" t="str">
        <f t="shared" si="32"/>
        <v/>
      </c>
      <c r="N431" t="str">
        <f t="shared" si="31"/>
        <v/>
      </c>
    </row>
    <row r="432" spans="1:14" ht="15" thickBot="1">
      <c r="A432" s="69">
        <v>46234</v>
      </c>
      <c r="B432" s="70" t="s">
        <v>297</v>
      </c>
      <c r="C432" s="72"/>
      <c r="D432" s="73"/>
      <c r="E432" s="70">
        <v>14.92</v>
      </c>
      <c r="F432" s="72">
        <v>12489.12</v>
      </c>
      <c r="G432" s="74">
        <f t="shared" si="36"/>
        <v>4518933.2300000032</v>
      </c>
      <c r="H432" s="75" t="s">
        <v>13</v>
      </c>
      <c r="I432" s="391" t="s">
        <v>127</v>
      </c>
      <c r="J432" s="516" t="s">
        <v>738</v>
      </c>
      <c r="K432" s="416" t="s">
        <v>127</v>
      </c>
      <c r="L432" s="15"/>
      <c r="M432" t="str">
        <f t="shared" si="32"/>
        <v/>
      </c>
      <c r="N432" t="str">
        <f t="shared" si="31"/>
        <v/>
      </c>
    </row>
    <row r="433" spans="1:14" ht="15" thickBot="1">
      <c r="A433" s="10">
        <v>46234</v>
      </c>
      <c r="B433" s="15" t="s">
        <v>169</v>
      </c>
      <c r="C433" s="19">
        <v>0.3</v>
      </c>
      <c r="D433" s="30">
        <v>262.02999999999997</v>
      </c>
      <c r="E433" s="15"/>
      <c r="F433" s="15"/>
      <c r="G433" s="33">
        <f>G432-D433</f>
        <v>4518671.200000003</v>
      </c>
      <c r="H433" s="351" t="s">
        <v>25</v>
      </c>
      <c r="I433" s="15" t="s">
        <v>116</v>
      </c>
      <c r="J433" s="117" t="s">
        <v>117</v>
      </c>
      <c r="K433" s="15"/>
      <c r="L433" s="416" t="s">
        <v>437</v>
      </c>
      <c r="M433" t="str">
        <f t="shared" si="32"/>
        <v/>
      </c>
      <c r="N433" t="str">
        <f t="shared" si="31"/>
        <v/>
      </c>
    </row>
    <row r="434" spans="1:14" ht="15" thickBot="1">
      <c r="A434" s="350">
        <v>46234</v>
      </c>
      <c r="B434" s="15" t="s">
        <v>169</v>
      </c>
      <c r="C434" s="19">
        <v>0.26</v>
      </c>
      <c r="D434" s="30">
        <v>224.59</v>
      </c>
      <c r="E434" s="15"/>
      <c r="F434" s="15"/>
      <c r="G434" s="33">
        <f t="shared" ref="G434:G442" si="37">G433-D434</f>
        <v>4518446.6100000031</v>
      </c>
      <c r="H434" s="351" t="s">
        <v>25</v>
      </c>
      <c r="I434" s="15" t="s">
        <v>116</v>
      </c>
      <c r="J434" s="117" t="s">
        <v>117</v>
      </c>
      <c r="K434" s="15"/>
      <c r="L434" s="416" t="s">
        <v>437</v>
      </c>
      <c r="M434" t="str">
        <f t="shared" si="32"/>
        <v/>
      </c>
      <c r="N434" t="str">
        <f t="shared" si="31"/>
        <v/>
      </c>
    </row>
    <row r="435" spans="1:14" ht="15" thickBot="1">
      <c r="A435" s="10">
        <v>46265</v>
      </c>
      <c r="B435" s="15" t="s">
        <v>169</v>
      </c>
      <c r="C435" s="19">
        <v>0.22</v>
      </c>
      <c r="D435" s="30">
        <v>187.33</v>
      </c>
      <c r="E435" s="15"/>
      <c r="F435" s="15"/>
      <c r="G435" s="33">
        <f t="shared" si="37"/>
        <v>4518259.2800000031</v>
      </c>
      <c r="H435" s="351" t="s">
        <v>25</v>
      </c>
      <c r="I435" s="15" t="s">
        <v>116</v>
      </c>
      <c r="J435" s="117" t="s">
        <v>117</v>
      </c>
      <c r="K435" s="15"/>
      <c r="L435" s="416" t="s">
        <v>437</v>
      </c>
      <c r="M435" t="str">
        <f t="shared" si="32"/>
        <v/>
      </c>
      <c r="N435" t="str">
        <f t="shared" si="31"/>
        <v/>
      </c>
    </row>
    <row r="436" spans="1:14" ht="15" thickBot="1">
      <c r="A436" s="10">
        <v>46265</v>
      </c>
      <c r="B436" s="352" t="s">
        <v>299</v>
      </c>
      <c r="C436" s="180">
        <v>1416.76</v>
      </c>
      <c r="D436" s="180">
        <v>1220065.32</v>
      </c>
      <c r="E436" s="91"/>
      <c r="F436" s="91"/>
      <c r="G436" s="33">
        <f t="shared" si="37"/>
        <v>3298193.9600000028</v>
      </c>
      <c r="H436" s="351" t="s">
        <v>10</v>
      </c>
      <c r="I436" s="394" t="s">
        <v>119</v>
      </c>
      <c r="J436" s="393" t="s">
        <v>121</v>
      </c>
      <c r="K436" s="15"/>
      <c r="L436" s="416" t="s">
        <v>437</v>
      </c>
      <c r="M436" t="str">
        <f t="shared" si="32"/>
        <v/>
      </c>
      <c r="N436" t="str">
        <f t="shared" si="31"/>
        <v/>
      </c>
    </row>
    <row r="437" spans="1:14" ht="15" thickBot="1">
      <c r="A437" s="10">
        <v>46265</v>
      </c>
      <c r="B437" s="348" t="s">
        <v>31</v>
      </c>
      <c r="C437" s="180">
        <v>4.25</v>
      </c>
      <c r="D437" s="204">
        <v>3660.19</v>
      </c>
      <c r="E437" s="15"/>
      <c r="F437" s="15"/>
      <c r="G437" s="33">
        <f t="shared" si="37"/>
        <v>3294533.7700000028</v>
      </c>
      <c r="H437" s="351" t="s">
        <v>25</v>
      </c>
      <c r="I437" s="15" t="s">
        <v>116</v>
      </c>
      <c r="J437" s="117" t="s">
        <v>117</v>
      </c>
      <c r="K437" s="15"/>
      <c r="L437" s="416" t="s">
        <v>437</v>
      </c>
      <c r="M437" t="str">
        <f t="shared" si="32"/>
        <v/>
      </c>
      <c r="N437" t="str">
        <f t="shared" si="31"/>
        <v/>
      </c>
    </row>
    <row r="438" spans="1:14" ht="15" thickBot="1">
      <c r="A438" s="350" t="s">
        <v>300</v>
      </c>
      <c r="B438" s="352" t="s">
        <v>301</v>
      </c>
      <c r="C438" s="180">
        <v>1416.76</v>
      </c>
      <c r="D438" s="180">
        <v>1220065.32</v>
      </c>
      <c r="E438" s="15"/>
      <c r="F438" s="15"/>
      <c r="G438" s="33">
        <f t="shared" si="37"/>
        <v>2074468.4500000027</v>
      </c>
      <c r="H438" s="351" t="s">
        <v>10</v>
      </c>
      <c r="I438" s="394" t="s">
        <v>119</v>
      </c>
      <c r="J438" s="393" t="s">
        <v>121</v>
      </c>
      <c r="K438" s="15"/>
      <c r="L438" s="416" t="s">
        <v>437</v>
      </c>
      <c r="M438" t="str">
        <f t="shared" si="32"/>
        <v/>
      </c>
      <c r="N438" t="str">
        <f t="shared" si="31"/>
        <v/>
      </c>
    </row>
    <row r="439" spans="1:14" ht="15" thickBot="1">
      <c r="A439" s="10">
        <v>46265</v>
      </c>
      <c r="B439" s="348" t="s">
        <v>31</v>
      </c>
      <c r="C439" s="19">
        <v>4.25</v>
      </c>
      <c r="D439" s="30">
        <v>3660.19</v>
      </c>
      <c r="E439" s="15"/>
      <c r="F439" s="15"/>
      <c r="G439" s="33">
        <f t="shared" si="37"/>
        <v>2070808.2600000028</v>
      </c>
      <c r="H439" s="351" t="s">
        <v>25</v>
      </c>
      <c r="I439" s="15" t="s">
        <v>116</v>
      </c>
      <c r="J439" s="117" t="s">
        <v>117</v>
      </c>
      <c r="K439" s="15"/>
      <c r="L439" s="416" t="s">
        <v>437</v>
      </c>
      <c r="M439" t="str">
        <f t="shared" si="32"/>
        <v/>
      </c>
      <c r="N439" t="str">
        <f t="shared" si="31"/>
        <v/>
      </c>
    </row>
    <row r="440" spans="1:14" ht="15" thickBot="1">
      <c r="A440" s="10">
        <v>46265</v>
      </c>
      <c r="B440" s="15" t="s">
        <v>302</v>
      </c>
      <c r="C440" s="19">
        <v>0</v>
      </c>
      <c r="D440" s="30">
        <v>0.1</v>
      </c>
      <c r="E440" s="15"/>
      <c r="F440" s="15"/>
      <c r="G440" s="33">
        <f t="shared" si="37"/>
        <v>2070808.1600000027</v>
      </c>
      <c r="H440" s="8" t="s">
        <v>25</v>
      </c>
      <c r="I440" s="15" t="s">
        <v>116</v>
      </c>
      <c r="J440" s="117" t="s">
        <v>117</v>
      </c>
      <c r="K440" s="15"/>
      <c r="L440" s="416" t="s">
        <v>437</v>
      </c>
      <c r="M440" t="str">
        <f t="shared" si="32"/>
        <v/>
      </c>
      <c r="N440" t="str">
        <f t="shared" si="31"/>
        <v/>
      </c>
    </row>
    <row r="441" spans="1:14" ht="15" thickBot="1">
      <c r="A441" s="10">
        <v>46265</v>
      </c>
      <c r="B441" s="15" t="s">
        <v>303</v>
      </c>
      <c r="C441" s="19">
        <v>0.01</v>
      </c>
      <c r="D441" s="30">
        <v>8</v>
      </c>
      <c r="E441" s="15"/>
      <c r="F441" s="15"/>
      <c r="G441" s="33">
        <f t="shared" si="37"/>
        <v>2070800.1600000027</v>
      </c>
      <c r="H441" s="8" t="s">
        <v>25</v>
      </c>
      <c r="I441" s="15" t="s">
        <v>116</v>
      </c>
      <c r="J441" s="117" t="s">
        <v>117</v>
      </c>
      <c r="K441" s="15"/>
      <c r="L441" s="416" t="s">
        <v>437</v>
      </c>
      <c r="M441" t="str">
        <f t="shared" si="32"/>
        <v/>
      </c>
      <c r="N441" t="str">
        <f t="shared" si="31"/>
        <v/>
      </c>
    </row>
    <row r="442" spans="1:14" ht="15" thickBot="1">
      <c r="A442" s="10">
        <v>46265</v>
      </c>
      <c r="B442" s="15" t="s">
        <v>162</v>
      </c>
      <c r="C442" s="19">
        <v>0.01</v>
      </c>
      <c r="D442" s="30">
        <v>8</v>
      </c>
      <c r="E442" s="15"/>
      <c r="F442" s="15"/>
      <c r="G442" s="33">
        <f t="shared" si="37"/>
        <v>2070792.1600000027</v>
      </c>
      <c r="H442" s="8" t="s">
        <v>25</v>
      </c>
      <c r="I442" s="15" t="s">
        <v>116</v>
      </c>
      <c r="J442" s="117" t="s">
        <v>117</v>
      </c>
      <c r="K442" s="15"/>
      <c r="L442" s="416" t="s">
        <v>437</v>
      </c>
      <c r="M442" t="str">
        <f t="shared" si="32"/>
        <v/>
      </c>
      <c r="N442" t="str">
        <f t="shared" si="31"/>
        <v/>
      </c>
    </row>
    <row r="443" spans="1:14" ht="15" thickBot="1">
      <c r="A443" s="69">
        <v>46235</v>
      </c>
      <c r="B443" s="70" t="s">
        <v>305</v>
      </c>
      <c r="C443" s="358"/>
      <c r="D443" s="70"/>
      <c r="E443" s="358">
        <v>14.4</v>
      </c>
      <c r="F443" s="72">
        <v>12551.77</v>
      </c>
      <c r="G443" s="74">
        <f>G442+F443</f>
        <v>2083343.9300000027</v>
      </c>
      <c r="H443" s="359" t="s">
        <v>13</v>
      </c>
      <c r="I443" s="391" t="s">
        <v>127</v>
      </c>
      <c r="J443" s="516" t="s">
        <v>738</v>
      </c>
      <c r="K443" s="416" t="s">
        <v>127</v>
      </c>
      <c r="L443" s="15"/>
      <c r="M443" t="str">
        <f t="shared" si="32"/>
        <v/>
      </c>
      <c r="N443" t="str">
        <f t="shared" si="31"/>
        <v/>
      </c>
    </row>
    <row r="444" spans="1:14" ht="15" thickBot="1">
      <c r="A444" s="69">
        <v>46235</v>
      </c>
      <c r="B444" s="70" t="s">
        <v>307</v>
      </c>
      <c r="C444" s="358"/>
      <c r="D444" s="72"/>
      <c r="E444" s="70">
        <v>8.69</v>
      </c>
      <c r="F444" s="72">
        <v>7576.37</v>
      </c>
      <c r="G444" s="74">
        <f>G443+F444</f>
        <v>2090920.3000000028</v>
      </c>
      <c r="H444" s="359" t="s">
        <v>13</v>
      </c>
      <c r="I444" s="391" t="s">
        <v>127</v>
      </c>
      <c r="J444" s="516" t="s">
        <v>741</v>
      </c>
      <c r="K444" s="416" t="s">
        <v>127</v>
      </c>
      <c r="L444" s="15"/>
      <c r="M444" t="str">
        <f t="shared" si="32"/>
        <v/>
      </c>
      <c r="N444" t="str">
        <f t="shared" si="31"/>
        <v/>
      </c>
    </row>
    <row r="445" spans="1:14" ht="15" thickBot="1">
      <c r="A445" s="361">
        <v>46235</v>
      </c>
      <c r="B445" s="70" t="s">
        <v>308</v>
      </c>
      <c r="C445" s="73"/>
      <c r="D445" s="72"/>
      <c r="E445" s="358">
        <v>8.69</v>
      </c>
      <c r="F445" s="72">
        <v>7576.33</v>
      </c>
      <c r="G445" s="74">
        <f>G444+F445</f>
        <v>2098496.6300000027</v>
      </c>
      <c r="H445" s="362" t="s">
        <v>13</v>
      </c>
      <c r="I445" s="391" t="s">
        <v>127</v>
      </c>
      <c r="J445" s="516" t="s">
        <v>738</v>
      </c>
      <c r="K445" s="416" t="s">
        <v>127</v>
      </c>
      <c r="L445" s="15"/>
      <c r="M445" t="str">
        <f t="shared" si="32"/>
        <v/>
      </c>
      <c r="N445" t="str">
        <f t="shared" si="31"/>
        <v/>
      </c>
    </row>
    <row r="446" spans="1:14" ht="15" thickBot="1">
      <c r="A446" s="231">
        <v>46235</v>
      </c>
      <c r="B446" s="363" t="s">
        <v>309</v>
      </c>
      <c r="C446" s="247">
        <v>0.22</v>
      </c>
      <c r="D446" s="247">
        <v>188.27</v>
      </c>
      <c r="E446" s="234"/>
      <c r="F446" s="357"/>
      <c r="G446" s="245">
        <f>G445-D446</f>
        <v>2098308.3600000027</v>
      </c>
      <c r="H446" s="360" t="s">
        <v>25</v>
      </c>
      <c r="I446" s="15" t="s">
        <v>116</v>
      </c>
      <c r="J446" s="117" t="s">
        <v>117</v>
      </c>
      <c r="K446" s="15"/>
      <c r="L446" s="416" t="s">
        <v>437</v>
      </c>
      <c r="M446" t="str">
        <f t="shared" si="32"/>
        <v/>
      </c>
      <c r="N446" t="str">
        <f t="shared" si="31"/>
        <v/>
      </c>
    </row>
    <row r="447" spans="1:14" ht="15" thickBot="1">
      <c r="A447" s="364">
        <v>46235</v>
      </c>
      <c r="B447" s="363" t="s">
        <v>309</v>
      </c>
      <c r="C447" s="233">
        <v>0.13</v>
      </c>
      <c r="D447" s="24">
        <v>113.64</v>
      </c>
      <c r="E447" s="234"/>
      <c r="F447" s="234"/>
      <c r="G447" s="245">
        <f t="shared" ref="G447:G448" si="38">G446-D447</f>
        <v>2098194.7200000025</v>
      </c>
      <c r="H447" s="360" t="s">
        <v>25</v>
      </c>
      <c r="I447" s="15" t="s">
        <v>116</v>
      </c>
      <c r="J447" s="117" t="s">
        <v>117</v>
      </c>
      <c r="K447" s="15"/>
      <c r="L447" s="416" t="s">
        <v>437</v>
      </c>
      <c r="M447" t="str">
        <f t="shared" si="32"/>
        <v/>
      </c>
      <c r="N447" t="str">
        <f t="shared" si="31"/>
        <v/>
      </c>
    </row>
    <row r="448" spans="1:14" ht="15" thickBot="1">
      <c r="A448" s="231">
        <v>46235</v>
      </c>
      <c r="B448" s="363" t="s">
        <v>309</v>
      </c>
      <c r="C448" s="24">
        <v>0.13</v>
      </c>
      <c r="D448" s="235">
        <v>113.64</v>
      </c>
      <c r="E448" s="234"/>
      <c r="F448" s="234"/>
      <c r="G448" s="245">
        <f t="shared" si="38"/>
        <v>2098081.0800000024</v>
      </c>
      <c r="H448" s="360" t="s">
        <v>25</v>
      </c>
      <c r="I448" s="15" t="s">
        <v>116</v>
      </c>
      <c r="J448" s="117" t="s">
        <v>117</v>
      </c>
      <c r="K448" s="15"/>
      <c r="L448" s="416" t="s">
        <v>437</v>
      </c>
      <c r="M448" t="str">
        <f t="shared" si="32"/>
        <v/>
      </c>
      <c r="N448" t="str">
        <f t="shared" si="31"/>
        <v/>
      </c>
    </row>
    <row r="449" spans="1:14" ht="15" thickBot="1">
      <c r="A449" s="69">
        <v>46236</v>
      </c>
      <c r="B449" s="70" t="s">
        <v>306</v>
      </c>
      <c r="C449" s="72"/>
      <c r="D449" s="365"/>
      <c r="E449" s="72">
        <v>14.49</v>
      </c>
      <c r="F449" s="73">
        <v>12633.66</v>
      </c>
      <c r="G449" s="74">
        <f>G448+F449</f>
        <v>2110714.7400000026</v>
      </c>
      <c r="H449" s="359" t="s">
        <v>13</v>
      </c>
      <c r="I449" s="391" t="s">
        <v>127</v>
      </c>
      <c r="J449" s="516" t="s">
        <v>738</v>
      </c>
      <c r="K449" s="416" t="s">
        <v>127</v>
      </c>
      <c r="L449" s="15"/>
      <c r="M449" t="str">
        <f t="shared" si="32"/>
        <v/>
      </c>
      <c r="N449" t="str">
        <f t="shared" si="31"/>
        <v/>
      </c>
    </row>
    <row r="450" spans="1:14" ht="15" thickBot="1">
      <c r="A450" s="69">
        <v>46236</v>
      </c>
      <c r="B450" s="70" t="s">
        <v>310</v>
      </c>
      <c r="C450" s="72"/>
      <c r="D450" s="72"/>
      <c r="E450" s="72">
        <v>11.59</v>
      </c>
      <c r="F450" s="73">
        <v>10108.209999999999</v>
      </c>
      <c r="G450" s="74">
        <f t="shared" ref="G450:G451" si="39">G449+F450</f>
        <v>2120822.9500000025</v>
      </c>
      <c r="H450" s="359" t="s">
        <v>13</v>
      </c>
      <c r="I450" s="391" t="s">
        <v>127</v>
      </c>
      <c r="J450" s="516" t="s">
        <v>738</v>
      </c>
      <c r="K450" s="416" t="s">
        <v>127</v>
      </c>
      <c r="L450" s="15"/>
      <c r="M450" t="str">
        <f t="shared" si="32"/>
        <v/>
      </c>
      <c r="N450" t="str">
        <f t="shared" si="31"/>
        <v/>
      </c>
    </row>
    <row r="451" spans="1:14" ht="15" thickBot="1">
      <c r="A451" s="69">
        <v>46236</v>
      </c>
      <c r="B451" s="70" t="s">
        <v>305</v>
      </c>
      <c r="C451" s="72"/>
      <c r="D451" s="366"/>
      <c r="E451" s="72">
        <v>2.9</v>
      </c>
      <c r="F451" s="73">
        <v>2531.89</v>
      </c>
      <c r="G451" s="74">
        <f t="shared" si="39"/>
        <v>2123354.8400000026</v>
      </c>
      <c r="H451" s="359" t="s">
        <v>13</v>
      </c>
      <c r="I451" s="391" t="s">
        <v>127</v>
      </c>
      <c r="J451" s="516" t="s">
        <v>738</v>
      </c>
      <c r="K451" s="416" t="s">
        <v>127</v>
      </c>
      <c r="L451" s="15"/>
      <c r="M451" t="str">
        <f t="shared" si="32"/>
        <v/>
      </c>
      <c r="N451" t="str">
        <f t="shared" si="31"/>
        <v/>
      </c>
    </row>
    <row r="452" spans="1:14" ht="15" thickBot="1">
      <c r="A452" s="231">
        <v>46236</v>
      </c>
      <c r="B452" s="363" t="s">
        <v>309</v>
      </c>
      <c r="C452" s="24">
        <v>0.22</v>
      </c>
      <c r="D452" s="235">
        <v>189.5</v>
      </c>
      <c r="E452" s="234"/>
      <c r="F452" s="234"/>
      <c r="G452" s="76">
        <f>G451-D452</f>
        <v>2123165.3400000026</v>
      </c>
      <c r="H452" s="360" t="s">
        <v>25</v>
      </c>
      <c r="I452" s="15" t="s">
        <v>116</v>
      </c>
      <c r="J452" s="117" t="s">
        <v>117</v>
      </c>
      <c r="K452" s="15"/>
      <c r="L452" s="416" t="s">
        <v>437</v>
      </c>
      <c r="M452" t="str">
        <f t="shared" si="32"/>
        <v/>
      </c>
      <c r="N452" t="str">
        <f t="shared" ref="N452:N515" si="40">IF(C452="","",IF(C452=D452,"OJOOO",""))</f>
        <v/>
      </c>
    </row>
    <row r="453" spans="1:14" ht="15" thickBot="1">
      <c r="A453" s="231">
        <v>46236</v>
      </c>
      <c r="B453" s="363" t="s">
        <v>309</v>
      </c>
      <c r="C453" s="24">
        <v>0.17</v>
      </c>
      <c r="D453" s="235">
        <v>151.62</v>
      </c>
      <c r="E453" s="234"/>
      <c r="F453" s="234"/>
      <c r="G453" s="76">
        <f t="shared" ref="G453:G454" si="41">G452-D453</f>
        <v>2123013.7200000025</v>
      </c>
      <c r="H453" s="360" t="s">
        <v>25</v>
      </c>
      <c r="I453" s="15" t="s">
        <v>116</v>
      </c>
      <c r="J453" s="117" t="s">
        <v>117</v>
      </c>
      <c r="K453" s="15"/>
      <c r="L453" s="416" t="s">
        <v>437</v>
      </c>
      <c r="M453" t="str">
        <f t="shared" si="32"/>
        <v/>
      </c>
      <c r="N453" t="str">
        <f t="shared" si="40"/>
        <v/>
      </c>
    </row>
    <row r="454" spans="1:14" ht="15" thickBot="1">
      <c r="A454" s="231">
        <v>46236</v>
      </c>
      <c r="B454" s="363" t="s">
        <v>309</v>
      </c>
      <c r="C454" s="24">
        <v>0</v>
      </c>
      <c r="D454" s="235">
        <v>37.97</v>
      </c>
      <c r="E454" s="234"/>
      <c r="F454" s="234"/>
      <c r="G454" s="76">
        <f t="shared" si="41"/>
        <v>2122975.7500000023</v>
      </c>
      <c r="H454" s="360" t="s">
        <v>25</v>
      </c>
      <c r="I454" s="15" t="s">
        <v>116</v>
      </c>
      <c r="J454" s="117" t="s">
        <v>117</v>
      </c>
      <c r="K454" s="15"/>
      <c r="L454" s="416" t="s">
        <v>437</v>
      </c>
      <c r="M454" t="str">
        <f t="shared" si="32"/>
        <v/>
      </c>
      <c r="N454" t="str">
        <f t="shared" si="40"/>
        <v/>
      </c>
    </row>
    <row r="455" spans="1:14" ht="15" thickBot="1">
      <c r="A455" s="69">
        <v>46237</v>
      </c>
      <c r="B455" s="70" t="s">
        <v>311</v>
      </c>
      <c r="C455" s="72"/>
      <c r="D455" s="73"/>
      <c r="E455" s="72">
        <v>20.25</v>
      </c>
      <c r="F455" s="72">
        <v>17723.23</v>
      </c>
      <c r="G455" s="74">
        <f>G454+F455</f>
        <v>2140698.9800000023</v>
      </c>
      <c r="H455" s="75" t="s">
        <v>13</v>
      </c>
      <c r="I455" s="391" t="s">
        <v>127</v>
      </c>
      <c r="J455" s="516" t="s">
        <v>738</v>
      </c>
      <c r="K455" s="416" t="s">
        <v>127</v>
      </c>
      <c r="L455" s="15"/>
      <c r="M455" t="str">
        <f t="shared" si="32"/>
        <v/>
      </c>
      <c r="N455" t="str">
        <f t="shared" si="40"/>
        <v/>
      </c>
    </row>
    <row r="456" spans="1:14" ht="15" thickBot="1">
      <c r="A456" s="69">
        <v>46237</v>
      </c>
      <c r="B456" s="70" t="s">
        <v>306</v>
      </c>
      <c r="C456" s="72"/>
      <c r="D456" s="73"/>
      <c r="E456" s="72">
        <v>14.46</v>
      </c>
      <c r="F456" s="72">
        <v>12659.45</v>
      </c>
      <c r="G456" s="74">
        <f>G455+F456</f>
        <v>2153358.4300000025</v>
      </c>
      <c r="H456" s="75" t="s">
        <v>13</v>
      </c>
      <c r="I456" s="391" t="s">
        <v>127</v>
      </c>
      <c r="J456" s="516" t="s">
        <v>738</v>
      </c>
      <c r="K456" s="416" t="s">
        <v>127</v>
      </c>
      <c r="L456" s="15"/>
      <c r="M456" t="str">
        <f t="shared" si="32"/>
        <v/>
      </c>
      <c r="N456" t="str">
        <f t="shared" si="40"/>
        <v/>
      </c>
    </row>
    <row r="457" spans="1:14" ht="15" thickBot="1">
      <c r="A457" s="281">
        <v>46237</v>
      </c>
      <c r="B457" s="363" t="s">
        <v>309</v>
      </c>
      <c r="C457" s="246">
        <v>0.3</v>
      </c>
      <c r="D457" s="244">
        <v>265.83999999999997</v>
      </c>
      <c r="E457" s="236"/>
      <c r="F457" s="236"/>
      <c r="G457" s="245">
        <f t="shared" ref="G457:G463" si="42">G456-D457</f>
        <v>2153092.5900000026</v>
      </c>
      <c r="H457" s="367" t="s">
        <v>25</v>
      </c>
      <c r="I457" s="15" t="s">
        <v>116</v>
      </c>
      <c r="J457" s="117" t="s">
        <v>117</v>
      </c>
      <c r="K457" s="15"/>
      <c r="L457" s="416" t="s">
        <v>437</v>
      </c>
      <c r="M457" t="str">
        <f t="shared" si="32"/>
        <v/>
      </c>
      <c r="N457" t="str">
        <f t="shared" si="40"/>
        <v/>
      </c>
    </row>
    <row r="458" spans="1:14" ht="15" thickBot="1">
      <c r="A458" s="281">
        <v>46237</v>
      </c>
      <c r="B458" s="363" t="s">
        <v>309</v>
      </c>
      <c r="C458" s="246">
        <v>0.22</v>
      </c>
      <c r="D458" s="244">
        <v>189.89</v>
      </c>
      <c r="E458" s="150"/>
      <c r="F458" s="150"/>
      <c r="G458" s="153">
        <f t="shared" si="42"/>
        <v>2152902.7000000025</v>
      </c>
      <c r="H458" s="367" t="s">
        <v>25</v>
      </c>
      <c r="I458" s="15" t="s">
        <v>116</v>
      </c>
      <c r="J458" s="117" t="s">
        <v>117</v>
      </c>
      <c r="K458" s="15"/>
      <c r="L458" s="416" t="s">
        <v>437</v>
      </c>
      <c r="M458" t="str">
        <f t="shared" si="32"/>
        <v/>
      </c>
      <c r="N458" t="str">
        <f t="shared" si="40"/>
        <v/>
      </c>
    </row>
    <row r="459" spans="1:14" ht="15" thickBot="1">
      <c r="A459" s="368">
        <v>46237</v>
      </c>
      <c r="B459" s="369" t="s">
        <v>312</v>
      </c>
      <c r="C459" s="246">
        <v>9.6300000000000008</v>
      </c>
      <c r="D459" s="244">
        <v>8429.98</v>
      </c>
      <c r="E459" s="369"/>
      <c r="F459" s="370"/>
      <c r="G459" s="245">
        <f t="shared" si="42"/>
        <v>2144472.7200000025</v>
      </c>
      <c r="H459" s="388" t="s">
        <v>10</v>
      </c>
      <c r="I459" s="15" t="s">
        <v>116</v>
      </c>
      <c r="J459" s="393" t="s">
        <v>269</v>
      </c>
      <c r="K459" s="15"/>
      <c r="L459" s="416" t="s">
        <v>437</v>
      </c>
      <c r="M459" t="str">
        <f t="shared" si="32"/>
        <v/>
      </c>
      <c r="N459" t="str">
        <f t="shared" si="40"/>
        <v/>
      </c>
    </row>
    <row r="460" spans="1:14" ht="15" thickBot="1">
      <c r="A460" s="231">
        <v>46237</v>
      </c>
      <c r="B460" s="369" t="s">
        <v>314</v>
      </c>
      <c r="C460" s="24">
        <v>427.77</v>
      </c>
      <c r="D460" s="235">
        <v>374390</v>
      </c>
      <c r="E460" s="234"/>
      <c r="F460" s="234"/>
      <c r="G460" s="153">
        <f t="shared" si="42"/>
        <v>1770082.7200000025</v>
      </c>
      <c r="H460" s="388" t="s">
        <v>10</v>
      </c>
      <c r="I460" s="394" t="s">
        <v>119</v>
      </c>
      <c r="J460" s="416" t="s">
        <v>447</v>
      </c>
      <c r="K460" s="15"/>
      <c r="L460" s="416" t="s">
        <v>437</v>
      </c>
      <c r="M460" t="str">
        <f t="shared" si="32"/>
        <v/>
      </c>
      <c r="N460" t="str">
        <f t="shared" si="40"/>
        <v/>
      </c>
    </row>
    <row r="461" spans="1:14" ht="15" thickBot="1">
      <c r="A461" s="231">
        <v>46237</v>
      </c>
      <c r="B461" s="369" t="s">
        <v>31</v>
      </c>
      <c r="C461" s="24">
        <v>1.28</v>
      </c>
      <c r="D461" s="235">
        <v>1123.17</v>
      </c>
      <c r="E461" s="234"/>
      <c r="F461" s="234"/>
      <c r="G461" s="153">
        <f t="shared" si="42"/>
        <v>1768959.5500000026</v>
      </c>
      <c r="H461" s="367" t="s">
        <v>25</v>
      </c>
      <c r="I461" s="15" t="s">
        <v>116</v>
      </c>
      <c r="J461" s="117" t="s">
        <v>117</v>
      </c>
      <c r="K461" s="15"/>
      <c r="L461" s="416" t="s">
        <v>437</v>
      </c>
      <c r="M461" t="str">
        <f t="shared" si="32"/>
        <v/>
      </c>
      <c r="N461" t="str">
        <f t="shared" si="40"/>
        <v/>
      </c>
    </row>
    <row r="462" spans="1:14" ht="15" thickBot="1">
      <c r="A462" s="231">
        <v>46237</v>
      </c>
      <c r="B462" s="369" t="s">
        <v>315</v>
      </c>
      <c r="C462" s="24">
        <v>34.92</v>
      </c>
      <c r="D462" s="235">
        <v>30565.19</v>
      </c>
      <c r="E462" s="234"/>
      <c r="F462" s="234"/>
      <c r="G462" s="153">
        <f t="shared" si="42"/>
        <v>1738394.3600000027</v>
      </c>
      <c r="H462" s="367" t="s">
        <v>313</v>
      </c>
      <c r="I462" s="15" t="s">
        <v>116</v>
      </c>
      <c r="J462" s="393" t="s">
        <v>269</v>
      </c>
      <c r="K462" s="15"/>
      <c r="L462" s="416" t="s">
        <v>437</v>
      </c>
      <c r="M462" t="str">
        <f t="shared" si="32"/>
        <v/>
      </c>
      <c r="N462" t="str">
        <f t="shared" si="40"/>
        <v/>
      </c>
    </row>
    <row r="463" spans="1:14" ht="15" thickBot="1">
      <c r="A463" s="231">
        <v>46237</v>
      </c>
      <c r="B463" s="369" t="s">
        <v>31</v>
      </c>
      <c r="C463" s="24">
        <v>0.1</v>
      </c>
      <c r="D463" s="235">
        <v>91.69</v>
      </c>
      <c r="E463" s="234"/>
      <c r="F463" s="234"/>
      <c r="G463" s="153">
        <f t="shared" si="42"/>
        <v>1738302.6700000027</v>
      </c>
      <c r="H463" s="367" t="s">
        <v>25</v>
      </c>
      <c r="I463" s="15" t="s">
        <v>116</v>
      </c>
      <c r="J463" s="117" t="s">
        <v>117</v>
      </c>
      <c r="K463" s="15"/>
      <c r="L463" s="416" t="s">
        <v>437</v>
      </c>
      <c r="M463" t="str">
        <f t="shared" si="32"/>
        <v/>
      </c>
      <c r="N463" t="str">
        <f t="shared" si="40"/>
        <v/>
      </c>
    </row>
    <row r="464" spans="1:14" ht="15" thickBot="1">
      <c r="A464" s="69">
        <v>46238</v>
      </c>
      <c r="B464" s="70" t="s">
        <v>316</v>
      </c>
      <c r="C464" s="72"/>
      <c r="D464" s="73"/>
      <c r="E464" s="70">
        <v>52.07</v>
      </c>
      <c r="F464" s="72">
        <v>45574</v>
      </c>
      <c r="G464" s="74">
        <f>G463+F464</f>
        <v>1783876.6700000027</v>
      </c>
      <c r="H464" s="75" t="s">
        <v>25</v>
      </c>
      <c r="I464" s="391" t="s">
        <v>127</v>
      </c>
      <c r="J464" s="516" t="s">
        <v>738</v>
      </c>
      <c r="K464" s="416" t="s">
        <v>127</v>
      </c>
      <c r="L464" s="15"/>
      <c r="M464" t="str">
        <f t="shared" si="32"/>
        <v/>
      </c>
      <c r="N464" t="str">
        <f t="shared" si="40"/>
        <v/>
      </c>
    </row>
    <row r="465" spans="1:14" ht="15" thickBot="1">
      <c r="A465" s="69">
        <v>46238</v>
      </c>
      <c r="B465" s="70" t="s">
        <v>311</v>
      </c>
      <c r="C465" s="72"/>
      <c r="D465" s="73"/>
      <c r="E465" s="70">
        <v>20.25</v>
      </c>
      <c r="F465" s="72">
        <v>17723.23</v>
      </c>
      <c r="G465" s="74">
        <f t="shared" ref="G465:G466" si="43">G464+F465</f>
        <v>1801599.9000000027</v>
      </c>
      <c r="H465" s="75" t="s">
        <v>25</v>
      </c>
      <c r="I465" s="391" t="s">
        <v>127</v>
      </c>
      <c r="J465" s="516" t="s">
        <v>738</v>
      </c>
      <c r="K465" s="416" t="s">
        <v>127</v>
      </c>
      <c r="L465" s="15"/>
      <c r="M465" t="str">
        <f t="shared" si="32"/>
        <v/>
      </c>
      <c r="N465" t="str">
        <f t="shared" si="40"/>
        <v/>
      </c>
    </row>
    <row r="466" spans="1:14" ht="15" thickBot="1">
      <c r="A466" s="69">
        <v>46238</v>
      </c>
      <c r="B466" s="70" t="s">
        <v>317</v>
      </c>
      <c r="C466" s="72"/>
      <c r="D466" s="73"/>
      <c r="E466" s="70">
        <v>20.239999999999998</v>
      </c>
      <c r="F466" s="72">
        <v>17710.25</v>
      </c>
      <c r="G466" s="74">
        <f t="shared" si="43"/>
        <v>1819310.1500000027</v>
      </c>
      <c r="H466" s="75" t="s">
        <v>25</v>
      </c>
      <c r="I466" s="391" t="s">
        <v>127</v>
      </c>
      <c r="J466" s="516" t="s">
        <v>741</v>
      </c>
      <c r="K466" s="416" t="s">
        <v>127</v>
      </c>
      <c r="L466" s="15"/>
      <c r="M466" t="str">
        <f t="shared" si="32"/>
        <v/>
      </c>
      <c r="N466" t="str">
        <f t="shared" si="40"/>
        <v/>
      </c>
    </row>
    <row r="467" spans="1:14" ht="15" thickBot="1">
      <c r="A467" s="231">
        <v>46238</v>
      </c>
      <c r="B467" s="363" t="s">
        <v>309</v>
      </c>
      <c r="C467" s="24">
        <v>0.78</v>
      </c>
      <c r="D467" s="235">
        <v>683.61</v>
      </c>
      <c r="E467" s="234"/>
      <c r="F467" s="234"/>
      <c r="G467" s="153">
        <f>G466-D467</f>
        <v>1818626.5400000026</v>
      </c>
      <c r="H467" s="367" t="s">
        <v>25</v>
      </c>
      <c r="I467" s="15" t="s">
        <v>116</v>
      </c>
      <c r="J467" s="117" t="s">
        <v>117</v>
      </c>
      <c r="K467" s="15"/>
      <c r="L467" s="416" t="s">
        <v>437</v>
      </c>
      <c r="M467" t="str">
        <f t="shared" si="32"/>
        <v/>
      </c>
      <c r="N467" t="str">
        <f t="shared" si="40"/>
        <v/>
      </c>
    </row>
    <row r="468" spans="1:14" ht="15" thickBot="1">
      <c r="A468" s="231">
        <v>46238</v>
      </c>
      <c r="B468" s="363" t="s">
        <v>309</v>
      </c>
      <c r="C468" s="24">
        <v>0.3</v>
      </c>
      <c r="D468" s="235">
        <v>265.83999999999997</v>
      </c>
      <c r="E468" s="234"/>
      <c r="F468" s="234"/>
      <c r="G468" s="153">
        <f t="shared" ref="G468:G469" si="44">G467-D468</f>
        <v>1818360.7000000025</v>
      </c>
      <c r="H468" s="367" t="s">
        <v>25</v>
      </c>
      <c r="I468" s="15" t="s">
        <v>116</v>
      </c>
      <c r="J468" s="117" t="s">
        <v>117</v>
      </c>
      <c r="K468" s="15"/>
      <c r="L468" s="416" t="s">
        <v>437</v>
      </c>
      <c r="M468" t="str">
        <f t="shared" ref="M468:M531" si="45">IF(E468="","",IF(E468=F468,"OJOOO",""))</f>
        <v/>
      </c>
      <c r="N468" t="str">
        <f t="shared" si="40"/>
        <v/>
      </c>
    </row>
    <row r="469" spans="1:14" ht="15" thickBot="1">
      <c r="A469" s="231">
        <v>46238</v>
      </c>
      <c r="B469" s="363" t="s">
        <v>309</v>
      </c>
      <c r="C469" s="24">
        <v>0.3</v>
      </c>
      <c r="D469" s="235">
        <v>265.64999999999998</v>
      </c>
      <c r="E469" s="234"/>
      <c r="F469" s="234"/>
      <c r="G469" s="153">
        <f t="shared" si="44"/>
        <v>1818095.0500000026</v>
      </c>
      <c r="H469" s="367" t="s">
        <v>25</v>
      </c>
      <c r="I469" s="15" t="s">
        <v>116</v>
      </c>
      <c r="J469" s="117" t="s">
        <v>117</v>
      </c>
      <c r="K469" s="15"/>
      <c r="L469" s="416" t="s">
        <v>437</v>
      </c>
      <c r="M469" t="str">
        <f t="shared" si="45"/>
        <v/>
      </c>
      <c r="N469" t="str">
        <f t="shared" si="40"/>
        <v/>
      </c>
    </row>
    <row r="470" spans="1:14" ht="15" thickBot="1">
      <c r="A470" s="69">
        <v>46238</v>
      </c>
      <c r="B470" s="70" t="s">
        <v>318</v>
      </c>
      <c r="C470" s="72"/>
      <c r="D470" s="73"/>
      <c r="E470" s="72">
        <v>5731</v>
      </c>
      <c r="F470" s="72">
        <v>5015885.05</v>
      </c>
      <c r="G470" s="74">
        <f>G469+F470</f>
        <v>6833980.1000000024</v>
      </c>
      <c r="H470" s="75"/>
      <c r="I470" s="391" t="s">
        <v>127</v>
      </c>
      <c r="J470" s="519" t="s">
        <v>737</v>
      </c>
      <c r="K470" s="416" t="s">
        <v>127</v>
      </c>
      <c r="L470" s="15"/>
      <c r="M470" t="str">
        <f t="shared" si="45"/>
        <v/>
      </c>
      <c r="N470" t="str">
        <f t="shared" si="40"/>
        <v/>
      </c>
    </row>
    <row r="471" spans="1:14" ht="15" thickBot="1">
      <c r="A471" s="231">
        <v>46238</v>
      </c>
      <c r="B471" s="369" t="s">
        <v>319</v>
      </c>
      <c r="C471" s="24">
        <v>799.34</v>
      </c>
      <c r="D471" s="235">
        <v>699600</v>
      </c>
      <c r="E471" s="234"/>
      <c r="F471" s="234"/>
      <c r="G471" s="153">
        <f t="shared" ref="G471:G478" si="46">G470-D471</f>
        <v>6134380.1000000024</v>
      </c>
      <c r="H471" s="367" t="s">
        <v>10</v>
      </c>
      <c r="I471" s="394" t="s">
        <v>119</v>
      </c>
      <c r="J471" s="416" t="s">
        <v>446</v>
      </c>
      <c r="K471" s="15"/>
      <c r="L471" s="416" t="s">
        <v>437</v>
      </c>
      <c r="M471" t="str">
        <f t="shared" si="45"/>
        <v/>
      </c>
      <c r="N471" t="str">
        <f t="shared" si="40"/>
        <v/>
      </c>
    </row>
    <row r="472" spans="1:14" ht="15" thickBot="1">
      <c r="A472" s="231">
        <v>46238</v>
      </c>
      <c r="B472" s="369" t="s">
        <v>31</v>
      </c>
      <c r="C472" s="24">
        <v>2.4</v>
      </c>
      <c r="D472" s="235">
        <v>2098.8000000000002</v>
      </c>
      <c r="E472" s="234"/>
      <c r="F472" s="234"/>
      <c r="G472" s="153">
        <f t="shared" si="46"/>
        <v>6132281.3000000026</v>
      </c>
      <c r="H472" s="367" t="s">
        <v>25</v>
      </c>
      <c r="I472" s="15" t="s">
        <v>116</v>
      </c>
      <c r="J472" s="117" t="s">
        <v>117</v>
      </c>
      <c r="K472" s="15"/>
      <c r="L472" s="416" t="s">
        <v>437</v>
      </c>
      <c r="M472" t="str">
        <f t="shared" si="45"/>
        <v/>
      </c>
      <c r="N472" t="str">
        <f t="shared" si="40"/>
        <v/>
      </c>
    </row>
    <row r="473" spans="1:14" ht="15" thickBot="1">
      <c r="A473" s="231">
        <v>46238</v>
      </c>
      <c r="B473" s="369" t="s">
        <v>320</v>
      </c>
      <c r="C473" s="371">
        <v>2090.02</v>
      </c>
      <c r="D473" s="235">
        <v>1829227.54</v>
      </c>
      <c r="E473" s="234"/>
      <c r="F473" s="234"/>
      <c r="G473" s="153">
        <f t="shared" si="46"/>
        <v>4303053.7600000026</v>
      </c>
      <c r="H473" s="367" t="s">
        <v>10</v>
      </c>
      <c r="I473" s="394" t="s">
        <v>119</v>
      </c>
      <c r="J473" s="416" t="s">
        <v>446</v>
      </c>
      <c r="K473" s="15"/>
      <c r="L473" s="416" t="s">
        <v>437</v>
      </c>
      <c r="M473" t="str">
        <f t="shared" si="45"/>
        <v/>
      </c>
      <c r="N473" t="str">
        <f t="shared" si="40"/>
        <v/>
      </c>
    </row>
    <row r="474" spans="1:14" ht="15" thickBot="1">
      <c r="A474" s="231">
        <v>46238</v>
      </c>
      <c r="B474" s="369" t="s">
        <v>31</v>
      </c>
      <c r="C474" s="24">
        <v>6.27</v>
      </c>
      <c r="D474" s="235">
        <v>5487.68</v>
      </c>
      <c r="E474" s="234"/>
      <c r="F474" s="234"/>
      <c r="G474" s="153">
        <f t="shared" si="46"/>
        <v>4297566.0800000029</v>
      </c>
      <c r="H474" s="367" t="s">
        <v>25</v>
      </c>
      <c r="I474" s="15" t="s">
        <v>116</v>
      </c>
      <c r="J474" s="117" t="s">
        <v>117</v>
      </c>
      <c r="K474" s="15"/>
      <c r="L474" s="416" t="s">
        <v>437</v>
      </c>
      <c r="M474" t="str">
        <f t="shared" si="45"/>
        <v/>
      </c>
      <c r="N474" t="str">
        <f t="shared" si="40"/>
        <v/>
      </c>
    </row>
    <row r="475" spans="1:14" ht="15" thickBot="1">
      <c r="A475" s="231">
        <v>46238</v>
      </c>
      <c r="B475" s="369" t="s">
        <v>321</v>
      </c>
      <c r="C475" s="24">
        <v>1379.37</v>
      </c>
      <c r="D475" s="235">
        <v>1207248.3600000001</v>
      </c>
      <c r="E475" s="234"/>
      <c r="F475" s="234"/>
      <c r="G475" s="153">
        <f t="shared" si="46"/>
        <v>3090317.7200000025</v>
      </c>
      <c r="H475" s="367" t="s">
        <v>85</v>
      </c>
      <c r="I475" s="394" t="s">
        <v>119</v>
      </c>
      <c r="J475" s="416" t="s">
        <v>446</v>
      </c>
      <c r="K475" s="15"/>
      <c r="L475" s="416" t="s">
        <v>437</v>
      </c>
      <c r="M475" t="str">
        <f t="shared" si="45"/>
        <v/>
      </c>
      <c r="N475" t="str">
        <f t="shared" si="40"/>
        <v/>
      </c>
    </row>
    <row r="476" spans="1:14" ht="15" thickBot="1">
      <c r="A476" s="231">
        <v>46238</v>
      </c>
      <c r="B476" s="369" t="s">
        <v>31</v>
      </c>
      <c r="C476" s="24">
        <v>4.1399999999999997</v>
      </c>
      <c r="D476" s="235">
        <v>3621.74</v>
      </c>
      <c r="E476" s="234"/>
      <c r="F476" s="234"/>
      <c r="G476" s="153">
        <f t="shared" si="46"/>
        <v>3086695.9800000023</v>
      </c>
      <c r="H476" s="367" t="s">
        <v>25</v>
      </c>
      <c r="I476" s="15" t="s">
        <v>116</v>
      </c>
      <c r="J476" s="117" t="s">
        <v>117</v>
      </c>
      <c r="K476" s="15"/>
      <c r="L476" s="416" t="s">
        <v>437</v>
      </c>
      <c r="M476" t="str">
        <f t="shared" si="45"/>
        <v/>
      </c>
      <c r="N476" t="str">
        <f t="shared" si="40"/>
        <v/>
      </c>
    </row>
    <row r="477" spans="1:14" ht="15" thickBot="1">
      <c r="A477" s="231">
        <v>46238</v>
      </c>
      <c r="B477" s="369" t="s">
        <v>322</v>
      </c>
      <c r="C477" s="24">
        <v>859.33</v>
      </c>
      <c r="D477" s="235">
        <v>752100</v>
      </c>
      <c r="E477" s="234"/>
      <c r="F477" s="234"/>
      <c r="G477" s="153">
        <f t="shared" si="46"/>
        <v>2334595.9800000023</v>
      </c>
      <c r="H477" s="367" t="s">
        <v>10</v>
      </c>
      <c r="I477" s="394" t="s">
        <v>119</v>
      </c>
      <c r="J477" s="416" t="s">
        <v>446</v>
      </c>
      <c r="K477" s="15"/>
      <c r="L477" s="416" t="s">
        <v>437</v>
      </c>
      <c r="M477" t="str">
        <f t="shared" si="45"/>
        <v/>
      </c>
      <c r="N477" t="str">
        <f t="shared" si="40"/>
        <v/>
      </c>
    </row>
    <row r="478" spans="1:14" ht="15" thickBot="1">
      <c r="A478" s="231">
        <v>46238</v>
      </c>
      <c r="B478" s="369" t="s">
        <v>31</v>
      </c>
      <c r="C478" s="24">
        <v>2.58</v>
      </c>
      <c r="D478" s="235">
        <v>2256.3000000000002</v>
      </c>
      <c r="E478" s="234"/>
      <c r="F478" s="234"/>
      <c r="G478" s="153">
        <f t="shared" si="46"/>
        <v>2332339.6800000025</v>
      </c>
      <c r="H478" s="367" t="s">
        <v>25</v>
      </c>
      <c r="I478" s="15" t="s">
        <v>116</v>
      </c>
      <c r="J478" s="117" t="s">
        <v>117</v>
      </c>
      <c r="K478" s="15"/>
      <c r="L478" s="416" t="s">
        <v>437</v>
      </c>
      <c r="M478" t="str">
        <f t="shared" si="45"/>
        <v/>
      </c>
      <c r="N478" t="str">
        <f t="shared" si="40"/>
        <v/>
      </c>
    </row>
    <row r="479" spans="1:14" ht="15" thickBot="1">
      <c r="A479" s="69">
        <v>46239</v>
      </c>
      <c r="B479" s="70" t="s">
        <v>323</v>
      </c>
      <c r="C479" s="72"/>
      <c r="D479" s="73"/>
      <c r="E479" s="70">
        <v>26.16</v>
      </c>
      <c r="F479" s="72">
        <v>22892.67</v>
      </c>
      <c r="G479" s="74">
        <f>G478+F479</f>
        <v>2355232.3500000024</v>
      </c>
      <c r="H479" s="75" t="s">
        <v>13</v>
      </c>
      <c r="I479" s="391" t="s">
        <v>127</v>
      </c>
      <c r="J479" s="516" t="s">
        <v>738</v>
      </c>
      <c r="K479" s="416" t="s">
        <v>127</v>
      </c>
      <c r="L479" s="15"/>
      <c r="M479" t="str">
        <f t="shared" si="45"/>
        <v/>
      </c>
      <c r="N479" t="str">
        <f t="shared" si="40"/>
        <v/>
      </c>
    </row>
    <row r="480" spans="1:14" ht="15" thickBot="1">
      <c r="A480" s="69">
        <v>46239</v>
      </c>
      <c r="B480" s="70" t="s">
        <v>316</v>
      </c>
      <c r="C480" s="72"/>
      <c r="D480" s="73"/>
      <c r="E480" s="70">
        <v>23.21</v>
      </c>
      <c r="F480" s="72">
        <v>20313.759999999998</v>
      </c>
      <c r="G480" s="74">
        <f t="shared" ref="G480:G482" si="47">G479+F480</f>
        <v>2375546.1100000022</v>
      </c>
      <c r="H480" s="75" t="s">
        <v>13</v>
      </c>
      <c r="I480" s="391" t="s">
        <v>127</v>
      </c>
      <c r="J480" s="516" t="s">
        <v>738</v>
      </c>
      <c r="K480" s="416" t="s">
        <v>127</v>
      </c>
      <c r="L480" s="15"/>
      <c r="M480" t="str">
        <f t="shared" si="45"/>
        <v/>
      </c>
      <c r="N480" t="str">
        <f t="shared" si="40"/>
        <v/>
      </c>
    </row>
    <row r="481" spans="1:14" ht="15" thickBot="1">
      <c r="A481" s="69">
        <v>46239</v>
      </c>
      <c r="B481" s="70" t="s">
        <v>324</v>
      </c>
      <c r="C481" s="72"/>
      <c r="D481" s="73"/>
      <c r="E481" s="70">
        <v>11.63</v>
      </c>
      <c r="F481" s="72">
        <v>10178.36</v>
      </c>
      <c r="G481" s="74">
        <f t="shared" si="47"/>
        <v>2385724.4700000021</v>
      </c>
      <c r="H481" s="75" t="s">
        <v>13</v>
      </c>
      <c r="I481" s="391" t="s">
        <v>127</v>
      </c>
      <c r="J481" s="516" t="s">
        <v>741</v>
      </c>
      <c r="K481" s="416" t="s">
        <v>127</v>
      </c>
      <c r="L481" s="15"/>
      <c r="M481" t="str">
        <f t="shared" si="45"/>
        <v/>
      </c>
      <c r="N481" t="str">
        <f t="shared" si="40"/>
        <v/>
      </c>
    </row>
    <row r="482" spans="1:14" ht="15" thickBot="1">
      <c r="A482" s="69">
        <v>46239</v>
      </c>
      <c r="B482" s="70" t="s">
        <v>323</v>
      </c>
      <c r="C482" s="72"/>
      <c r="D482" s="73"/>
      <c r="E482" s="70">
        <v>2.91</v>
      </c>
      <c r="F482" s="72">
        <v>2543.63</v>
      </c>
      <c r="G482" s="74">
        <f t="shared" si="47"/>
        <v>2388268.100000002</v>
      </c>
      <c r="H482" s="75" t="s">
        <v>13</v>
      </c>
      <c r="I482" s="391" t="s">
        <v>127</v>
      </c>
      <c r="J482" s="516" t="s">
        <v>738</v>
      </c>
      <c r="K482" s="416" t="s">
        <v>127</v>
      </c>
      <c r="L482" s="15"/>
      <c r="M482" t="str">
        <f t="shared" si="45"/>
        <v/>
      </c>
      <c r="N482" t="str">
        <f t="shared" si="40"/>
        <v/>
      </c>
    </row>
    <row r="483" spans="1:14" ht="15" thickBot="1">
      <c r="A483" s="231">
        <v>46239</v>
      </c>
      <c r="B483" s="363" t="s">
        <v>309</v>
      </c>
      <c r="C483" s="24">
        <v>0.39</v>
      </c>
      <c r="D483" s="235">
        <v>343.39</v>
      </c>
      <c r="E483" s="234"/>
      <c r="F483" s="234"/>
      <c r="G483" s="153">
        <f>G482-D483</f>
        <v>2387924.7100000018</v>
      </c>
      <c r="H483" s="367" t="s">
        <v>25</v>
      </c>
      <c r="I483" s="15" t="s">
        <v>116</v>
      </c>
      <c r="J483" s="117" t="s">
        <v>117</v>
      </c>
      <c r="K483" s="15"/>
      <c r="L483" s="416" t="s">
        <v>437</v>
      </c>
      <c r="M483" t="str">
        <f t="shared" si="45"/>
        <v/>
      </c>
      <c r="N483" t="str">
        <f t="shared" si="40"/>
        <v/>
      </c>
    </row>
    <row r="484" spans="1:14" ht="15" thickBot="1">
      <c r="A484" s="231">
        <v>46239</v>
      </c>
      <c r="B484" s="363" t="s">
        <v>309</v>
      </c>
      <c r="C484" s="24">
        <v>0.35</v>
      </c>
      <c r="D484" s="235">
        <v>304.7</v>
      </c>
      <c r="E484" s="234"/>
      <c r="F484" s="234"/>
      <c r="G484" s="153">
        <f t="shared" ref="G484:G493" si="48">G483-D484</f>
        <v>2387620.0100000016</v>
      </c>
      <c r="H484" s="367" t="s">
        <v>25</v>
      </c>
      <c r="I484" s="15" t="s">
        <v>116</v>
      </c>
      <c r="J484" s="117" t="s">
        <v>117</v>
      </c>
      <c r="K484" s="15"/>
      <c r="L484" s="416" t="s">
        <v>437</v>
      </c>
      <c r="M484" t="str">
        <f t="shared" si="45"/>
        <v/>
      </c>
      <c r="N484" t="str">
        <f t="shared" si="40"/>
        <v/>
      </c>
    </row>
    <row r="485" spans="1:14" ht="15" thickBot="1">
      <c r="A485" s="231">
        <v>46239</v>
      </c>
      <c r="B485" s="363" t="s">
        <v>309</v>
      </c>
      <c r="C485" s="24">
        <v>0.17</v>
      </c>
      <c r="D485" s="235">
        <v>152.66999999999999</v>
      </c>
      <c r="E485" s="234"/>
      <c r="F485" s="234"/>
      <c r="G485" s="153">
        <f t="shared" si="48"/>
        <v>2387467.3400000017</v>
      </c>
      <c r="H485" s="367" t="s">
        <v>25</v>
      </c>
      <c r="I485" s="15" t="s">
        <v>116</v>
      </c>
      <c r="J485" s="117" t="s">
        <v>117</v>
      </c>
      <c r="K485" s="15"/>
      <c r="L485" s="416" t="s">
        <v>437</v>
      </c>
      <c r="M485" t="str">
        <f t="shared" si="45"/>
        <v/>
      </c>
      <c r="N485" t="str">
        <f t="shared" si="40"/>
        <v/>
      </c>
    </row>
    <row r="486" spans="1:14" ht="15" thickBot="1">
      <c r="A486" s="231">
        <v>46239</v>
      </c>
      <c r="B486" s="363" t="s">
        <v>309</v>
      </c>
      <c r="C486" s="24">
        <v>0.04</v>
      </c>
      <c r="D486" s="235">
        <v>38.15</v>
      </c>
      <c r="E486" s="234"/>
      <c r="F486" s="234"/>
      <c r="G486" s="153">
        <f t="shared" si="48"/>
        <v>2387429.1900000018</v>
      </c>
      <c r="H486" s="367" t="s">
        <v>25</v>
      </c>
      <c r="I486" s="15" t="s">
        <v>116</v>
      </c>
      <c r="J486" s="117" t="s">
        <v>117</v>
      </c>
      <c r="K486" s="15"/>
      <c r="L486" s="416" t="s">
        <v>437</v>
      </c>
      <c r="M486" t="str">
        <f t="shared" si="45"/>
        <v/>
      </c>
      <c r="N486" t="str">
        <f t="shared" si="40"/>
        <v/>
      </c>
    </row>
    <row r="487" spans="1:14" ht="15" thickBot="1">
      <c r="A487" s="231">
        <v>46239</v>
      </c>
      <c r="B487" s="369" t="s">
        <v>325</v>
      </c>
      <c r="C487" s="24">
        <v>193.85</v>
      </c>
      <c r="D487" s="235">
        <v>169658.97</v>
      </c>
      <c r="E487" s="234"/>
      <c r="F487" s="234"/>
      <c r="G487" s="153">
        <f t="shared" si="48"/>
        <v>2217770.2200000016</v>
      </c>
      <c r="H487" s="367" t="s">
        <v>10</v>
      </c>
      <c r="I487" s="394" t="s">
        <v>119</v>
      </c>
      <c r="J487" s="393" t="s">
        <v>121</v>
      </c>
      <c r="K487" s="15"/>
      <c r="L487" s="416" t="s">
        <v>437</v>
      </c>
      <c r="M487" t="str">
        <f t="shared" si="45"/>
        <v/>
      </c>
      <c r="N487" t="str">
        <f t="shared" si="40"/>
        <v/>
      </c>
    </row>
    <row r="488" spans="1:14" ht="15" thickBot="1">
      <c r="A488" s="231">
        <v>46239</v>
      </c>
      <c r="B488" s="369" t="s">
        <v>31</v>
      </c>
      <c r="C488" s="24">
        <v>0.57999999999999996</v>
      </c>
      <c r="D488" s="235">
        <v>508.97</v>
      </c>
      <c r="E488" s="234"/>
      <c r="F488" s="234"/>
      <c r="G488" s="153">
        <f t="shared" si="48"/>
        <v>2217261.2500000014</v>
      </c>
      <c r="H488" s="367" t="s">
        <v>25</v>
      </c>
      <c r="I488" s="15" t="s">
        <v>116</v>
      </c>
      <c r="J488" s="117" t="s">
        <v>117</v>
      </c>
      <c r="K488" s="15"/>
      <c r="L488" s="416" t="s">
        <v>437</v>
      </c>
      <c r="M488" t="str">
        <f t="shared" si="45"/>
        <v/>
      </c>
      <c r="N488" t="str">
        <f t="shared" si="40"/>
        <v/>
      </c>
    </row>
    <row r="489" spans="1:14" ht="15" thickBot="1">
      <c r="A489" s="231">
        <v>46239</v>
      </c>
      <c r="B489" s="369" t="s">
        <v>326</v>
      </c>
      <c r="C489" s="24">
        <v>32.9</v>
      </c>
      <c r="D489" s="235">
        <v>28790.39</v>
      </c>
      <c r="E489" s="234"/>
      <c r="F489" s="234"/>
      <c r="G489" s="153">
        <f t="shared" si="48"/>
        <v>2188470.8600000013</v>
      </c>
      <c r="H489" s="367" t="s">
        <v>10</v>
      </c>
      <c r="I489" s="15" t="s">
        <v>116</v>
      </c>
      <c r="J489" s="393" t="s">
        <v>269</v>
      </c>
      <c r="K489" s="15"/>
      <c r="L489" s="416" t="s">
        <v>437</v>
      </c>
      <c r="M489" t="str">
        <f t="shared" si="45"/>
        <v/>
      </c>
      <c r="N489" t="str">
        <f t="shared" si="40"/>
        <v/>
      </c>
    </row>
    <row r="490" spans="1:14" ht="15" thickBot="1">
      <c r="A490" s="231">
        <v>46239</v>
      </c>
      <c r="B490" s="369" t="s">
        <v>31</v>
      </c>
      <c r="C490" s="24">
        <v>0.1</v>
      </c>
      <c r="D490" s="235">
        <v>86.37</v>
      </c>
      <c r="E490" s="234"/>
      <c r="F490" s="234"/>
      <c r="G490" s="153">
        <f t="shared" si="48"/>
        <v>2188384.4900000012</v>
      </c>
      <c r="H490" s="367" t="s">
        <v>25</v>
      </c>
      <c r="I490" s="15" t="s">
        <v>116</v>
      </c>
      <c r="J490" s="117" t="s">
        <v>117</v>
      </c>
      <c r="K490" s="15"/>
      <c r="L490" s="416" t="s">
        <v>437</v>
      </c>
      <c r="M490" t="str">
        <f t="shared" si="45"/>
        <v/>
      </c>
      <c r="N490" t="str">
        <f t="shared" si="40"/>
        <v/>
      </c>
    </row>
    <row r="491" spans="1:14" ht="15" thickBot="1">
      <c r="A491" s="231">
        <v>46239</v>
      </c>
      <c r="B491" s="369" t="s">
        <v>327</v>
      </c>
      <c r="C491" s="24">
        <v>0.69</v>
      </c>
      <c r="D491" s="235">
        <v>600</v>
      </c>
      <c r="E491" s="234"/>
      <c r="F491" s="234"/>
      <c r="G491" s="153">
        <f t="shared" si="48"/>
        <v>2187784.4900000012</v>
      </c>
      <c r="H491" s="367" t="s">
        <v>13</v>
      </c>
      <c r="I491" s="15" t="s">
        <v>116</v>
      </c>
      <c r="J491" s="393" t="s">
        <v>269</v>
      </c>
      <c r="K491" s="15"/>
      <c r="L491" s="416" t="s">
        <v>437</v>
      </c>
      <c r="M491" t="str">
        <f t="shared" si="45"/>
        <v/>
      </c>
      <c r="N491" t="str">
        <f t="shared" si="40"/>
        <v/>
      </c>
    </row>
    <row r="492" spans="1:14" ht="29.5" thickBot="1">
      <c r="A492" s="231">
        <v>46239</v>
      </c>
      <c r="B492" s="372" t="s">
        <v>328</v>
      </c>
      <c r="C492" s="24">
        <v>33.82</v>
      </c>
      <c r="D492" s="235">
        <v>29603.759999999998</v>
      </c>
      <c r="E492" s="234"/>
      <c r="F492" s="234"/>
      <c r="G492" s="153">
        <f t="shared" si="48"/>
        <v>2158180.7300000014</v>
      </c>
      <c r="H492" s="367" t="s">
        <v>13</v>
      </c>
      <c r="I492" s="15" t="s">
        <v>116</v>
      </c>
      <c r="J492" s="393" t="s">
        <v>390</v>
      </c>
      <c r="K492" s="15"/>
      <c r="L492" s="416" t="s">
        <v>437</v>
      </c>
      <c r="M492" t="str">
        <f t="shared" si="45"/>
        <v/>
      </c>
      <c r="N492" t="str">
        <f t="shared" si="40"/>
        <v/>
      </c>
    </row>
    <row r="493" spans="1:14" ht="15" thickBot="1">
      <c r="A493" s="231">
        <v>46239</v>
      </c>
      <c r="B493" s="369" t="s">
        <v>329</v>
      </c>
      <c r="C493" s="24">
        <v>28.51</v>
      </c>
      <c r="D493" s="235">
        <v>24950</v>
      </c>
      <c r="E493" s="234"/>
      <c r="F493" s="234"/>
      <c r="G493" s="153">
        <f t="shared" si="48"/>
        <v>2133230.7300000014</v>
      </c>
      <c r="H493" s="367" t="s">
        <v>13</v>
      </c>
      <c r="I493" s="15" t="s">
        <v>116</v>
      </c>
      <c r="J493" s="393" t="s">
        <v>390</v>
      </c>
      <c r="K493" s="15"/>
      <c r="L493" s="416" t="s">
        <v>437</v>
      </c>
      <c r="M493" t="str">
        <f t="shared" si="45"/>
        <v/>
      </c>
      <c r="N493" t="str">
        <f t="shared" si="40"/>
        <v/>
      </c>
    </row>
    <row r="494" spans="1:14" ht="15" thickBot="1">
      <c r="A494" s="69">
        <v>46240</v>
      </c>
      <c r="B494" s="70" t="s">
        <v>330</v>
      </c>
      <c r="C494" s="72"/>
      <c r="D494" s="73"/>
      <c r="E494" s="70">
        <v>49.68</v>
      </c>
      <c r="F494" s="72">
        <v>43484.77</v>
      </c>
      <c r="G494" s="74">
        <f>G493+F494</f>
        <v>2176715.5000000014</v>
      </c>
      <c r="H494" s="75" t="s">
        <v>13</v>
      </c>
      <c r="I494" s="391" t="s">
        <v>127</v>
      </c>
      <c r="J494" s="516" t="s">
        <v>738</v>
      </c>
      <c r="K494" s="416" t="s">
        <v>127</v>
      </c>
      <c r="L494" s="15"/>
      <c r="M494" t="str">
        <f t="shared" si="45"/>
        <v/>
      </c>
      <c r="N494" t="str">
        <f t="shared" si="40"/>
        <v/>
      </c>
    </row>
    <row r="495" spans="1:14" ht="15" thickBot="1">
      <c r="A495" s="69">
        <v>46240</v>
      </c>
      <c r="B495" s="70" t="s">
        <v>330</v>
      </c>
      <c r="C495" s="72"/>
      <c r="D495" s="73"/>
      <c r="E495" s="70">
        <v>31.58</v>
      </c>
      <c r="F495" s="72">
        <v>27640.19</v>
      </c>
      <c r="G495" s="74">
        <f>G494+F495</f>
        <v>2204355.6900000013</v>
      </c>
      <c r="H495" s="75" t="s">
        <v>13</v>
      </c>
      <c r="I495" s="391" t="s">
        <v>127</v>
      </c>
      <c r="J495" s="516" t="s">
        <v>738</v>
      </c>
      <c r="K495" s="416" t="s">
        <v>127</v>
      </c>
      <c r="L495" s="15"/>
      <c r="M495" t="str">
        <f t="shared" si="45"/>
        <v/>
      </c>
      <c r="N495" t="str">
        <f t="shared" si="40"/>
        <v/>
      </c>
    </row>
    <row r="496" spans="1:14" ht="15" thickBot="1">
      <c r="A496" s="231">
        <v>46240</v>
      </c>
      <c r="B496" s="363" t="s">
        <v>309</v>
      </c>
      <c r="C496" s="24">
        <v>0.75</v>
      </c>
      <c r="D496" s="235">
        <v>652.27</v>
      </c>
      <c r="E496" s="234"/>
      <c r="F496" s="234"/>
      <c r="G496" s="153">
        <f>G495-D496</f>
        <v>2203703.4200000013</v>
      </c>
      <c r="H496" s="367" t="s">
        <v>25</v>
      </c>
      <c r="I496" s="15" t="s">
        <v>116</v>
      </c>
      <c r="J496" s="117" t="s">
        <v>117</v>
      </c>
      <c r="K496" s="15"/>
      <c r="L496" s="416" t="s">
        <v>437</v>
      </c>
      <c r="M496" t="str">
        <f t="shared" si="45"/>
        <v/>
      </c>
      <c r="N496" t="str">
        <f t="shared" si="40"/>
        <v/>
      </c>
    </row>
    <row r="497" spans="1:14" ht="15" thickBot="1">
      <c r="A497" s="231">
        <v>46240</v>
      </c>
      <c r="B497" s="363" t="s">
        <v>309</v>
      </c>
      <c r="C497" s="24">
        <v>0.47</v>
      </c>
      <c r="D497" s="235">
        <v>414.6</v>
      </c>
      <c r="E497" s="234"/>
      <c r="F497" s="234"/>
      <c r="G497" s="153">
        <f>G496-D497</f>
        <v>2203288.8200000012</v>
      </c>
      <c r="H497" s="367" t="s">
        <v>25</v>
      </c>
      <c r="I497" s="15" t="s">
        <v>116</v>
      </c>
      <c r="J497" s="117" t="s">
        <v>117</v>
      </c>
      <c r="K497" s="15"/>
      <c r="L497" s="416" t="s">
        <v>437</v>
      </c>
      <c r="M497" t="str">
        <f t="shared" si="45"/>
        <v/>
      </c>
      <c r="N497" t="str">
        <f t="shared" si="40"/>
        <v/>
      </c>
    </row>
    <row r="498" spans="1:14" ht="15" thickBot="1">
      <c r="A498" s="231">
        <v>46240</v>
      </c>
      <c r="B498" s="369" t="s">
        <v>331</v>
      </c>
      <c r="C498" s="24">
        <v>3.46</v>
      </c>
      <c r="D498" s="235">
        <v>3024</v>
      </c>
      <c r="E498" s="234"/>
      <c r="F498" s="234"/>
      <c r="G498" s="153">
        <f>G497-D498</f>
        <v>2200264.8200000012</v>
      </c>
      <c r="H498" s="367" t="s">
        <v>13</v>
      </c>
      <c r="I498" s="15" t="s">
        <v>116</v>
      </c>
      <c r="J498" s="393" t="s">
        <v>269</v>
      </c>
      <c r="K498" s="15"/>
      <c r="L498" s="416" t="s">
        <v>437</v>
      </c>
      <c r="M498" t="str">
        <f t="shared" si="45"/>
        <v/>
      </c>
      <c r="N498" t="str">
        <f t="shared" si="40"/>
        <v/>
      </c>
    </row>
    <row r="499" spans="1:14" ht="15" thickBot="1">
      <c r="A499" s="231">
        <v>46240</v>
      </c>
      <c r="B499" s="369" t="s">
        <v>332</v>
      </c>
      <c r="C499" s="24">
        <v>431.83</v>
      </c>
      <c r="D499" s="235">
        <v>377950</v>
      </c>
      <c r="E499" s="234"/>
      <c r="F499" s="234"/>
      <c r="G499" s="153">
        <f>G498-D499</f>
        <v>1822314.8200000012</v>
      </c>
      <c r="H499" s="367" t="s">
        <v>10</v>
      </c>
      <c r="I499" s="394" t="s">
        <v>119</v>
      </c>
      <c r="J499" s="416" t="s">
        <v>447</v>
      </c>
      <c r="K499" s="15"/>
      <c r="L499" s="416" t="s">
        <v>437</v>
      </c>
      <c r="M499" t="str">
        <f t="shared" si="45"/>
        <v/>
      </c>
      <c r="N499" t="str">
        <f t="shared" si="40"/>
        <v/>
      </c>
    </row>
    <row r="500" spans="1:14" ht="15" thickBot="1">
      <c r="A500" s="231">
        <v>46240</v>
      </c>
      <c r="B500" s="369" t="s">
        <v>31</v>
      </c>
      <c r="C500" s="24">
        <v>1.3</v>
      </c>
      <c r="D500" s="235">
        <v>1133.8499999999999</v>
      </c>
      <c r="E500" s="234"/>
      <c r="F500" s="234"/>
      <c r="G500" s="153">
        <f>G499-D500</f>
        <v>1821180.9700000011</v>
      </c>
      <c r="H500" s="367" t="s">
        <v>25</v>
      </c>
      <c r="I500" s="15" t="s">
        <v>116</v>
      </c>
      <c r="J500" s="117" t="s">
        <v>117</v>
      </c>
      <c r="K500" s="15"/>
      <c r="L500" s="416" t="s">
        <v>437</v>
      </c>
      <c r="M500" t="str">
        <f t="shared" si="45"/>
        <v/>
      </c>
      <c r="N500" t="str">
        <f t="shared" si="40"/>
        <v/>
      </c>
    </row>
    <row r="501" spans="1:14" ht="15" thickBot="1">
      <c r="A501" s="69">
        <v>46241</v>
      </c>
      <c r="B501" s="70" t="s">
        <v>333</v>
      </c>
      <c r="C501" s="72"/>
      <c r="D501" s="73"/>
      <c r="E501" s="70">
        <v>37.68</v>
      </c>
      <c r="F501" s="72">
        <v>33352.28</v>
      </c>
      <c r="G501" s="74">
        <f>G500+F501</f>
        <v>1854533.2500000012</v>
      </c>
      <c r="H501" s="75" t="s">
        <v>13</v>
      </c>
      <c r="I501" s="391" t="s">
        <v>127</v>
      </c>
      <c r="J501" s="516" t="s">
        <v>738</v>
      </c>
      <c r="K501" s="416" t="s">
        <v>127</v>
      </c>
      <c r="L501" s="15"/>
      <c r="M501" t="str">
        <f t="shared" si="45"/>
        <v/>
      </c>
      <c r="N501" t="str">
        <f t="shared" si="40"/>
        <v/>
      </c>
    </row>
    <row r="502" spans="1:14" ht="15" thickBot="1">
      <c r="A502" s="69">
        <v>46241</v>
      </c>
      <c r="B502" s="70" t="s">
        <v>334</v>
      </c>
      <c r="C502" s="72"/>
      <c r="D502" s="73"/>
      <c r="E502" s="70">
        <v>23.14</v>
      </c>
      <c r="F502" s="72">
        <v>20481.18</v>
      </c>
      <c r="G502" s="74">
        <f t="shared" ref="G502:G504" si="49">G501+F502</f>
        <v>1875014.4300000011</v>
      </c>
      <c r="H502" s="75" t="s">
        <v>13</v>
      </c>
      <c r="I502" s="391" t="s">
        <v>127</v>
      </c>
      <c r="J502" s="516" t="s">
        <v>741</v>
      </c>
      <c r="K502" s="416" t="s">
        <v>127</v>
      </c>
      <c r="L502" s="15"/>
      <c r="M502" t="str">
        <f t="shared" si="45"/>
        <v/>
      </c>
      <c r="N502" t="str">
        <f t="shared" si="40"/>
        <v/>
      </c>
    </row>
    <row r="503" spans="1:14" ht="15" thickBot="1">
      <c r="A503" s="69">
        <v>46241</v>
      </c>
      <c r="B503" s="70" t="s">
        <v>335</v>
      </c>
      <c r="C503" s="72"/>
      <c r="D503" s="73"/>
      <c r="E503" s="70">
        <v>17.38</v>
      </c>
      <c r="F503" s="72">
        <v>15381.16</v>
      </c>
      <c r="G503" s="74">
        <f t="shared" si="49"/>
        <v>1890395.590000001</v>
      </c>
      <c r="H503" s="75" t="s">
        <v>13</v>
      </c>
      <c r="I503" s="391" t="s">
        <v>127</v>
      </c>
      <c r="J503" s="516" t="s">
        <v>738</v>
      </c>
      <c r="K503" s="416" t="s">
        <v>127</v>
      </c>
      <c r="L503" s="15"/>
      <c r="M503" t="str">
        <f t="shared" si="45"/>
        <v/>
      </c>
      <c r="N503" t="str">
        <f t="shared" si="40"/>
        <v/>
      </c>
    </row>
    <row r="504" spans="1:14" ht="15" thickBot="1">
      <c r="A504" s="69">
        <v>46241</v>
      </c>
      <c r="B504" s="70" t="s">
        <v>335</v>
      </c>
      <c r="C504" s="72"/>
      <c r="D504" s="73"/>
      <c r="E504" s="70">
        <v>2.89</v>
      </c>
      <c r="F504" s="72">
        <v>2558</v>
      </c>
      <c r="G504" s="74">
        <f t="shared" si="49"/>
        <v>1892953.590000001</v>
      </c>
      <c r="H504" s="75" t="s">
        <v>13</v>
      </c>
      <c r="I504" s="391" t="s">
        <v>127</v>
      </c>
      <c r="J504" s="516" t="s">
        <v>738</v>
      </c>
      <c r="K504" s="416" t="s">
        <v>127</v>
      </c>
      <c r="L504" s="15"/>
      <c r="M504" t="str">
        <f t="shared" si="45"/>
        <v/>
      </c>
      <c r="N504" t="str">
        <f t="shared" si="40"/>
        <v/>
      </c>
    </row>
    <row r="505" spans="1:14" ht="15" thickBot="1">
      <c r="A505" s="231">
        <v>46241</v>
      </c>
      <c r="B505" s="363" t="s">
        <v>309</v>
      </c>
      <c r="C505" s="24">
        <v>0.56999999999999995</v>
      </c>
      <c r="D505" s="235">
        <v>500.28</v>
      </c>
      <c r="E505" s="234"/>
      <c r="F505" s="234"/>
      <c r="G505" s="153">
        <f>G504-D505</f>
        <v>1892453.310000001</v>
      </c>
      <c r="H505" s="373" t="s">
        <v>25</v>
      </c>
      <c r="I505" s="15" t="s">
        <v>116</v>
      </c>
      <c r="J505" s="117" t="s">
        <v>117</v>
      </c>
      <c r="K505" s="15"/>
      <c r="L505" s="416" t="s">
        <v>437</v>
      </c>
      <c r="M505" t="str">
        <f t="shared" si="45"/>
        <v/>
      </c>
      <c r="N505" t="str">
        <f t="shared" si="40"/>
        <v/>
      </c>
    </row>
    <row r="506" spans="1:14" ht="15" thickBot="1">
      <c r="A506" s="231">
        <v>46241</v>
      </c>
      <c r="B506" s="363" t="s">
        <v>309</v>
      </c>
      <c r="C506" s="24">
        <v>0.35</v>
      </c>
      <c r="D506" s="235">
        <v>307.20999999999998</v>
      </c>
      <c r="E506" s="234"/>
      <c r="F506" s="234"/>
      <c r="G506" s="153">
        <f t="shared" ref="G506:G510" si="50">G505-D506</f>
        <v>1892146.100000001</v>
      </c>
      <c r="H506" s="373" t="s">
        <v>25</v>
      </c>
      <c r="I506" s="15" t="s">
        <v>116</v>
      </c>
      <c r="J506" s="117" t="s">
        <v>117</v>
      </c>
      <c r="K506" s="15"/>
      <c r="L506" s="416" t="s">
        <v>437</v>
      </c>
      <c r="M506" t="str">
        <f t="shared" si="45"/>
        <v/>
      </c>
      <c r="N506" t="str">
        <f t="shared" si="40"/>
        <v/>
      </c>
    </row>
    <row r="507" spans="1:14" ht="15" thickBot="1">
      <c r="A507" s="231">
        <v>46241</v>
      </c>
      <c r="B507" s="363" t="s">
        <v>309</v>
      </c>
      <c r="C507" s="24">
        <v>0.26</v>
      </c>
      <c r="D507" s="235">
        <v>230.71</v>
      </c>
      <c r="E507" s="234"/>
      <c r="F507" s="234"/>
      <c r="G507" s="153">
        <f t="shared" si="50"/>
        <v>1891915.3900000011</v>
      </c>
      <c r="H507" s="373" t="s">
        <v>25</v>
      </c>
      <c r="I507" s="15" t="s">
        <v>116</v>
      </c>
      <c r="J507" s="117" t="s">
        <v>117</v>
      </c>
      <c r="K507" s="15"/>
      <c r="L507" s="416" t="s">
        <v>437</v>
      </c>
      <c r="M507" t="str">
        <f t="shared" si="45"/>
        <v/>
      </c>
      <c r="N507" t="str">
        <f t="shared" si="40"/>
        <v/>
      </c>
    </row>
    <row r="508" spans="1:14" ht="15" thickBot="1">
      <c r="A508" s="231">
        <v>46241</v>
      </c>
      <c r="B508" s="363" t="s">
        <v>309</v>
      </c>
      <c r="C508" s="24">
        <v>0.04</v>
      </c>
      <c r="D508" s="235">
        <v>38.369999999999997</v>
      </c>
      <c r="E508" s="234"/>
      <c r="F508" s="234"/>
      <c r="G508" s="153">
        <f t="shared" si="50"/>
        <v>1891877.0200000009</v>
      </c>
      <c r="H508" s="373" t="s">
        <v>25</v>
      </c>
      <c r="I508" s="15" t="s">
        <v>116</v>
      </c>
      <c r="J508" s="117" t="s">
        <v>117</v>
      </c>
      <c r="K508" s="15"/>
      <c r="L508" s="416" t="s">
        <v>437</v>
      </c>
      <c r="M508" t="str">
        <f t="shared" si="45"/>
        <v/>
      </c>
      <c r="N508" t="str">
        <f t="shared" si="40"/>
        <v/>
      </c>
    </row>
    <row r="509" spans="1:14" ht="15" thickBot="1">
      <c r="A509" s="231">
        <v>46241</v>
      </c>
      <c r="B509" s="395" t="s">
        <v>336</v>
      </c>
      <c r="C509" s="24">
        <v>4.5999999999999996</v>
      </c>
      <c r="D509" s="235">
        <v>4071.09</v>
      </c>
      <c r="E509" s="234"/>
      <c r="F509" s="234"/>
      <c r="G509" s="153">
        <f t="shared" si="50"/>
        <v>1887805.9300000009</v>
      </c>
      <c r="H509" s="373" t="s">
        <v>13</v>
      </c>
      <c r="I509" s="15" t="s">
        <v>116</v>
      </c>
      <c r="J509" s="117" t="s">
        <v>117</v>
      </c>
      <c r="K509" s="15"/>
      <c r="L509" s="416" t="s">
        <v>437</v>
      </c>
      <c r="M509" t="str">
        <f t="shared" si="45"/>
        <v/>
      </c>
      <c r="N509" t="str">
        <f t="shared" si="40"/>
        <v/>
      </c>
    </row>
    <row r="510" spans="1:14" ht="15" thickBot="1">
      <c r="A510" s="231">
        <v>46241</v>
      </c>
      <c r="B510" s="375" t="s">
        <v>337</v>
      </c>
      <c r="C510" s="24">
        <v>6.55</v>
      </c>
      <c r="D510" s="235">
        <v>5800</v>
      </c>
      <c r="E510" s="234"/>
      <c r="F510" s="234"/>
      <c r="G510" s="153">
        <f t="shared" si="50"/>
        <v>1882005.9300000009</v>
      </c>
      <c r="H510" s="376" t="s">
        <v>13</v>
      </c>
      <c r="I510" s="15" t="s">
        <v>116</v>
      </c>
      <c r="J510" s="117" t="s">
        <v>117</v>
      </c>
      <c r="K510" s="15"/>
      <c r="L510" s="416" t="s">
        <v>437</v>
      </c>
      <c r="M510" t="str">
        <f t="shared" si="45"/>
        <v/>
      </c>
      <c r="N510" t="str">
        <f t="shared" si="40"/>
        <v/>
      </c>
    </row>
    <row r="511" spans="1:14" ht="15" thickBot="1">
      <c r="A511" s="69">
        <v>46241</v>
      </c>
      <c r="B511" s="70" t="s">
        <v>338</v>
      </c>
      <c r="C511" s="72"/>
      <c r="D511" s="73"/>
      <c r="E511" s="70">
        <v>68.64</v>
      </c>
      <c r="F511" s="72">
        <v>60748.97</v>
      </c>
      <c r="G511" s="74">
        <f>G510+F511</f>
        <v>1942754.9000000008</v>
      </c>
      <c r="H511" s="75" t="s">
        <v>10</v>
      </c>
      <c r="I511" s="391" t="s">
        <v>127</v>
      </c>
      <c r="J511" s="519" t="s">
        <v>740</v>
      </c>
      <c r="K511" s="416" t="s">
        <v>127</v>
      </c>
      <c r="L511" s="15"/>
      <c r="M511" t="str">
        <f t="shared" si="45"/>
        <v/>
      </c>
      <c r="N511" t="str">
        <f t="shared" si="40"/>
        <v/>
      </c>
    </row>
    <row r="512" spans="1:14" ht="15" thickBot="1">
      <c r="A512" s="69">
        <v>46241</v>
      </c>
      <c r="B512" s="70" t="s">
        <v>339</v>
      </c>
      <c r="C512" s="72"/>
      <c r="D512" s="73"/>
      <c r="E512" s="70">
        <v>881.6</v>
      </c>
      <c r="F512" s="72">
        <v>780286.16</v>
      </c>
      <c r="G512" s="74">
        <f>G511+F512</f>
        <v>2723041.060000001</v>
      </c>
      <c r="H512" s="75" t="s">
        <v>10</v>
      </c>
      <c r="I512" s="391" t="s">
        <v>127</v>
      </c>
      <c r="J512" s="519" t="s">
        <v>740</v>
      </c>
      <c r="K512" s="416" t="s">
        <v>127</v>
      </c>
      <c r="L512" s="15"/>
      <c r="M512" t="str">
        <f t="shared" si="45"/>
        <v/>
      </c>
      <c r="N512" t="str">
        <f t="shared" si="40"/>
        <v/>
      </c>
    </row>
    <row r="513" spans="1:14" ht="15" thickBot="1">
      <c r="A513" s="69">
        <v>46242</v>
      </c>
      <c r="B513" s="70" t="s">
        <v>333</v>
      </c>
      <c r="C513" s="72"/>
      <c r="D513" s="73"/>
      <c r="E513" s="70"/>
      <c r="F513" s="72">
        <v>25661.4</v>
      </c>
      <c r="G513" s="74">
        <f t="shared" ref="G513:G515" si="51">G512+F513</f>
        <v>2748702.4600000009</v>
      </c>
      <c r="H513" s="75" t="s">
        <v>13</v>
      </c>
      <c r="I513" s="391" t="s">
        <v>127</v>
      </c>
      <c r="J513" s="516" t="s">
        <v>738</v>
      </c>
      <c r="K513" s="416" t="s">
        <v>127</v>
      </c>
      <c r="L513" s="15"/>
      <c r="M513" t="str">
        <f t="shared" si="45"/>
        <v/>
      </c>
      <c r="N513" t="str">
        <f t="shared" si="40"/>
        <v/>
      </c>
    </row>
    <row r="514" spans="1:14" ht="15" thickBot="1">
      <c r="A514" s="69">
        <v>46242</v>
      </c>
      <c r="B514" s="70" t="s">
        <v>340</v>
      </c>
      <c r="C514" s="72"/>
      <c r="D514" s="73"/>
      <c r="E514" s="70"/>
      <c r="F514" s="72">
        <v>25661.4</v>
      </c>
      <c r="G514" s="74">
        <f t="shared" si="51"/>
        <v>2774363.8600000008</v>
      </c>
      <c r="H514" s="75" t="s">
        <v>13</v>
      </c>
      <c r="I514" s="391" t="s">
        <v>127</v>
      </c>
      <c r="J514" s="516" t="s">
        <v>738</v>
      </c>
      <c r="K514" s="416" t="s">
        <v>127</v>
      </c>
      <c r="L514" s="15"/>
      <c r="M514" t="str">
        <f t="shared" si="45"/>
        <v/>
      </c>
      <c r="N514" t="str">
        <f t="shared" si="40"/>
        <v/>
      </c>
    </row>
    <row r="515" spans="1:14" ht="15" thickBot="1">
      <c r="A515" s="69">
        <v>46242</v>
      </c>
      <c r="B515" s="70" t="s">
        <v>341</v>
      </c>
      <c r="C515" s="72"/>
      <c r="D515" s="73"/>
      <c r="E515" s="70"/>
      <c r="F515" s="72">
        <v>12812.71</v>
      </c>
      <c r="G515" s="74">
        <f t="shared" si="51"/>
        <v>2787176.5700000008</v>
      </c>
      <c r="H515" s="75" t="s">
        <v>13</v>
      </c>
      <c r="I515" s="391" t="s">
        <v>127</v>
      </c>
      <c r="J515" s="516" t="s">
        <v>741</v>
      </c>
      <c r="K515" s="416" t="s">
        <v>127</v>
      </c>
      <c r="L515" s="15"/>
      <c r="M515" t="str">
        <f t="shared" si="45"/>
        <v/>
      </c>
      <c r="N515" t="str">
        <f t="shared" si="40"/>
        <v/>
      </c>
    </row>
    <row r="516" spans="1:14" ht="15" thickBot="1">
      <c r="A516" s="231">
        <v>46242</v>
      </c>
      <c r="B516" s="363" t="s">
        <v>309</v>
      </c>
      <c r="C516" s="24">
        <v>0.43</v>
      </c>
      <c r="D516" s="235">
        <v>384.92</v>
      </c>
      <c r="E516" s="234"/>
      <c r="F516" s="234"/>
      <c r="G516" s="153">
        <f>G515-D516</f>
        <v>2786791.6500000008</v>
      </c>
      <c r="H516" s="376" t="s">
        <v>25</v>
      </c>
      <c r="I516" s="15" t="s">
        <v>116</v>
      </c>
      <c r="J516" s="117" t="s">
        <v>117</v>
      </c>
      <c r="K516" s="15"/>
      <c r="L516" s="416" t="s">
        <v>437</v>
      </c>
      <c r="M516" t="str">
        <f t="shared" si="45"/>
        <v/>
      </c>
      <c r="N516" t="str">
        <f t="shared" ref="N516:N579" si="52">IF(C516="","",IF(C516=D516,"OJOOO",""))</f>
        <v/>
      </c>
    </row>
    <row r="517" spans="1:14" ht="15" thickBot="1">
      <c r="A517" s="231">
        <v>46242</v>
      </c>
      <c r="B517" s="363" t="s">
        <v>309</v>
      </c>
      <c r="C517" s="24">
        <v>0.43</v>
      </c>
      <c r="D517" s="235">
        <v>384.92</v>
      </c>
      <c r="E517" s="234"/>
      <c r="F517" s="234"/>
      <c r="G517" s="153">
        <f t="shared" ref="G517:G518" si="53">G516-D517</f>
        <v>2786406.7300000009</v>
      </c>
      <c r="H517" s="376" t="s">
        <v>25</v>
      </c>
      <c r="I517" s="15" t="s">
        <v>116</v>
      </c>
      <c r="J517" s="117" t="s">
        <v>117</v>
      </c>
      <c r="K517" s="15"/>
      <c r="L517" s="416" t="s">
        <v>437</v>
      </c>
      <c r="M517" t="str">
        <f t="shared" si="45"/>
        <v/>
      </c>
      <c r="N517" t="str">
        <f t="shared" si="52"/>
        <v/>
      </c>
    </row>
    <row r="518" spans="1:14" ht="15" thickBot="1">
      <c r="A518" s="231">
        <v>46242</v>
      </c>
      <c r="B518" s="363" t="s">
        <v>309</v>
      </c>
      <c r="C518" s="24">
        <v>0.22</v>
      </c>
      <c r="D518" s="235">
        <v>192.19</v>
      </c>
      <c r="E518" s="234"/>
      <c r="F518" s="234"/>
      <c r="G518" s="153">
        <f t="shared" si="53"/>
        <v>2786214.540000001</v>
      </c>
      <c r="H518" s="376" t="s">
        <v>25</v>
      </c>
      <c r="I518" s="15" t="s">
        <v>116</v>
      </c>
      <c r="J518" s="117" t="s">
        <v>117</v>
      </c>
      <c r="K518" s="15"/>
      <c r="L518" s="416" t="s">
        <v>437</v>
      </c>
      <c r="M518" t="str">
        <f t="shared" si="45"/>
        <v/>
      </c>
      <c r="N518" t="str">
        <f t="shared" si="52"/>
        <v/>
      </c>
    </row>
    <row r="519" spans="1:14" ht="15" thickBot="1">
      <c r="A519" s="69">
        <v>46243</v>
      </c>
      <c r="B519" s="70" t="s">
        <v>342</v>
      </c>
      <c r="C519" s="72"/>
      <c r="D519" s="73"/>
      <c r="E519" s="70">
        <v>35.68</v>
      </c>
      <c r="F519" s="72">
        <v>31582.06</v>
      </c>
      <c r="G519" s="74">
        <f>G518+F519</f>
        <v>2817796.600000001</v>
      </c>
      <c r="H519" s="75" t="s">
        <v>13</v>
      </c>
      <c r="I519" s="391" t="s">
        <v>127</v>
      </c>
      <c r="J519" s="516" t="s">
        <v>738</v>
      </c>
      <c r="K519" s="416" t="s">
        <v>127</v>
      </c>
      <c r="L519" s="15"/>
      <c r="M519" t="str">
        <f t="shared" si="45"/>
        <v/>
      </c>
      <c r="N519" t="str">
        <f t="shared" si="52"/>
        <v/>
      </c>
    </row>
    <row r="520" spans="1:14" ht="15" thickBot="1">
      <c r="A520" s="69">
        <v>46243</v>
      </c>
      <c r="B520" s="70" t="s">
        <v>340</v>
      </c>
      <c r="C520" s="72"/>
      <c r="D520" s="73"/>
      <c r="E520" s="70">
        <v>32.450000000000003</v>
      </c>
      <c r="F520" s="72">
        <v>28721.35</v>
      </c>
      <c r="G520" s="74">
        <f t="shared" ref="G520:G521" si="54">G519+F520</f>
        <v>2846517.9500000011</v>
      </c>
      <c r="H520" s="75" t="s">
        <v>13</v>
      </c>
      <c r="I520" s="391" t="s">
        <v>127</v>
      </c>
      <c r="J520" s="516" t="s">
        <v>738</v>
      </c>
      <c r="K520" s="416" t="s">
        <v>127</v>
      </c>
      <c r="L520" s="15"/>
      <c r="M520" t="str">
        <f t="shared" si="45"/>
        <v/>
      </c>
      <c r="N520" t="str">
        <f t="shared" si="52"/>
        <v/>
      </c>
    </row>
    <row r="521" spans="1:14" ht="15" thickBot="1">
      <c r="A521" s="69">
        <v>46243</v>
      </c>
      <c r="B521" s="70" t="s">
        <v>343</v>
      </c>
      <c r="C521" s="72"/>
      <c r="D521" s="73"/>
      <c r="E521" s="70">
        <v>2.9</v>
      </c>
      <c r="F521" s="72">
        <v>2563.36</v>
      </c>
      <c r="G521" s="74">
        <f t="shared" si="54"/>
        <v>2849081.310000001</v>
      </c>
      <c r="H521" s="75" t="s">
        <v>13</v>
      </c>
      <c r="I521" s="391" t="s">
        <v>127</v>
      </c>
      <c r="J521" s="516" t="s">
        <v>738</v>
      </c>
      <c r="K521" s="416" t="s">
        <v>127</v>
      </c>
      <c r="L521" s="15"/>
      <c r="M521" t="str">
        <f t="shared" si="45"/>
        <v/>
      </c>
      <c r="N521" t="str">
        <f t="shared" si="52"/>
        <v/>
      </c>
    </row>
    <row r="522" spans="1:14" ht="15" thickBot="1">
      <c r="A522" s="231">
        <v>46243</v>
      </c>
      <c r="B522" s="363" t="s">
        <v>309</v>
      </c>
      <c r="C522" s="24">
        <v>0.54</v>
      </c>
      <c r="D522" s="235">
        <v>473.73</v>
      </c>
      <c r="E522" s="234"/>
      <c r="F522" s="234"/>
      <c r="G522" s="153">
        <f>G521-D522</f>
        <v>2848607.580000001</v>
      </c>
      <c r="H522" s="376" t="s">
        <v>25</v>
      </c>
      <c r="I522" s="15" t="s">
        <v>116</v>
      </c>
      <c r="J522" s="117" t="s">
        <v>117</v>
      </c>
      <c r="K522" s="15"/>
      <c r="L522" s="416" t="s">
        <v>437</v>
      </c>
      <c r="M522" t="str">
        <f t="shared" si="45"/>
        <v/>
      </c>
      <c r="N522" t="str">
        <f t="shared" si="52"/>
        <v/>
      </c>
    </row>
    <row r="523" spans="1:14" ht="15" thickBot="1">
      <c r="A523" s="231">
        <v>46243</v>
      </c>
      <c r="B523" s="363" t="s">
        <v>309</v>
      </c>
      <c r="C523" s="24">
        <v>0.49</v>
      </c>
      <c r="D523" s="235">
        <v>430.82</v>
      </c>
      <c r="E523" s="234"/>
      <c r="F523" s="234"/>
      <c r="G523" s="153">
        <f t="shared" ref="G523:G524" si="55">G522-D523</f>
        <v>2848176.7600000012</v>
      </c>
      <c r="H523" s="376" t="s">
        <v>25</v>
      </c>
      <c r="I523" s="15" t="s">
        <v>116</v>
      </c>
      <c r="J523" s="117" t="s">
        <v>117</v>
      </c>
      <c r="K523" s="15"/>
      <c r="L523" s="416" t="s">
        <v>437</v>
      </c>
      <c r="M523" t="str">
        <f t="shared" si="45"/>
        <v/>
      </c>
      <c r="N523" t="str">
        <f t="shared" si="52"/>
        <v/>
      </c>
    </row>
    <row r="524" spans="1:14" ht="15" thickBot="1">
      <c r="A524" s="231">
        <v>46243</v>
      </c>
      <c r="B524" s="363" t="s">
        <v>309</v>
      </c>
      <c r="C524" s="24">
        <v>0.04</v>
      </c>
      <c r="D524" s="235">
        <v>38.450000000000003</v>
      </c>
      <c r="E524" s="234"/>
      <c r="F524" s="234"/>
      <c r="G524" s="153">
        <f t="shared" si="55"/>
        <v>2848138.310000001</v>
      </c>
      <c r="H524" s="376" t="s">
        <v>25</v>
      </c>
      <c r="I524" s="15" t="s">
        <v>116</v>
      </c>
      <c r="J524" s="117" t="s">
        <v>117</v>
      </c>
      <c r="K524" s="15"/>
      <c r="L524" s="416" t="s">
        <v>437</v>
      </c>
      <c r="M524" t="str">
        <f t="shared" si="45"/>
        <v/>
      </c>
      <c r="N524" t="str">
        <f t="shared" si="52"/>
        <v/>
      </c>
    </row>
    <row r="525" spans="1:14" ht="15" thickBot="1">
      <c r="A525" s="69">
        <v>46244</v>
      </c>
      <c r="B525" s="70" t="s">
        <v>343</v>
      </c>
      <c r="C525" s="72"/>
      <c r="D525" s="73"/>
      <c r="E525" s="70">
        <v>17.16</v>
      </c>
      <c r="F525" s="72">
        <v>15184.56</v>
      </c>
      <c r="G525" s="74">
        <f>G524+F525</f>
        <v>2863322.870000001</v>
      </c>
      <c r="H525" s="75" t="s">
        <v>13</v>
      </c>
      <c r="I525" s="391" t="s">
        <v>127</v>
      </c>
      <c r="J525" s="516" t="s">
        <v>738</v>
      </c>
      <c r="K525" s="416" t="s">
        <v>127</v>
      </c>
      <c r="L525" s="15"/>
      <c r="M525" t="str">
        <f t="shared" si="45"/>
        <v/>
      </c>
      <c r="N525" t="str">
        <f t="shared" si="52"/>
        <v/>
      </c>
    </row>
    <row r="526" spans="1:14" ht="15" thickBot="1">
      <c r="A526" s="69">
        <v>46244</v>
      </c>
      <c r="B526" s="70" t="s">
        <v>344</v>
      </c>
      <c r="C526" s="72"/>
      <c r="D526" s="73"/>
      <c r="E526" s="70">
        <v>2.9</v>
      </c>
      <c r="F526" s="72">
        <v>2566.14</v>
      </c>
      <c r="G526" s="74">
        <f>G525+F526</f>
        <v>2865889.0100000012</v>
      </c>
      <c r="H526" s="75" t="s">
        <v>13</v>
      </c>
      <c r="I526" s="391" t="s">
        <v>127</v>
      </c>
      <c r="J526" s="516" t="s">
        <v>738</v>
      </c>
      <c r="K526" s="416" t="s">
        <v>127</v>
      </c>
      <c r="L526" s="15"/>
      <c r="M526" t="str">
        <f t="shared" si="45"/>
        <v/>
      </c>
      <c r="N526" t="str">
        <f t="shared" si="52"/>
        <v/>
      </c>
    </row>
    <row r="527" spans="1:14" ht="15" thickBot="1">
      <c r="A527" s="231">
        <v>46244</v>
      </c>
      <c r="B527" s="363" t="s">
        <v>309</v>
      </c>
      <c r="C527" s="24">
        <v>0.26</v>
      </c>
      <c r="D527" s="235">
        <v>227.76</v>
      </c>
      <c r="E527" s="234"/>
      <c r="F527" s="234"/>
      <c r="G527" s="153">
        <f>G526-D527</f>
        <v>2865661.2500000014</v>
      </c>
      <c r="H527" s="376" t="s">
        <v>25</v>
      </c>
      <c r="I527" s="15" t="s">
        <v>116</v>
      </c>
      <c r="J527" s="117" t="s">
        <v>117</v>
      </c>
      <c r="K527" s="15"/>
      <c r="L527" s="416" t="s">
        <v>437</v>
      </c>
      <c r="M527" t="str">
        <f t="shared" si="45"/>
        <v/>
      </c>
      <c r="N527" t="str">
        <f t="shared" si="52"/>
        <v/>
      </c>
    </row>
    <row r="528" spans="1:14" ht="15" thickBot="1">
      <c r="A528" s="231">
        <v>46244</v>
      </c>
      <c r="B528" s="363" t="s">
        <v>309</v>
      </c>
      <c r="C528" s="24">
        <v>0.04</v>
      </c>
      <c r="D528" s="235">
        <v>38.49</v>
      </c>
      <c r="E528" s="234"/>
      <c r="F528" s="234"/>
      <c r="G528" s="153">
        <f>G527-D528</f>
        <v>2865622.7600000012</v>
      </c>
      <c r="H528" s="376" t="s">
        <v>25</v>
      </c>
      <c r="I528" s="15" t="s">
        <v>116</v>
      </c>
      <c r="J528" s="117" t="s">
        <v>117</v>
      </c>
      <c r="K528" s="15"/>
      <c r="L528" s="416" t="s">
        <v>437</v>
      </c>
      <c r="M528" t="str">
        <f t="shared" si="45"/>
        <v/>
      </c>
      <c r="N528" t="str">
        <f t="shared" si="52"/>
        <v/>
      </c>
    </row>
    <row r="529" spans="1:14" ht="15" thickBot="1">
      <c r="A529" s="231">
        <v>46244</v>
      </c>
      <c r="B529" s="375" t="s">
        <v>345</v>
      </c>
      <c r="C529" s="24">
        <v>41.94</v>
      </c>
      <c r="D529" s="235">
        <v>37119.949999999997</v>
      </c>
      <c r="E529" s="234"/>
      <c r="F529" s="234"/>
      <c r="G529" s="153">
        <f>G528-D529</f>
        <v>2828502.810000001</v>
      </c>
      <c r="H529" s="376" t="s">
        <v>10</v>
      </c>
      <c r="I529" s="394" t="s">
        <v>119</v>
      </c>
      <c r="J529" s="393" t="s">
        <v>121</v>
      </c>
      <c r="K529" s="15"/>
      <c r="L529" s="416" t="s">
        <v>437</v>
      </c>
      <c r="M529" t="str">
        <f t="shared" si="45"/>
        <v/>
      </c>
      <c r="N529" t="str">
        <f t="shared" si="52"/>
        <v/>
      </c>
    </row>
    <row r="530" spans="1:14" ht="15" thickBot="1">
      <c r="A530" s="231">
        <v>46244</v>
      </c>
      <c r="B530" s="375" t="s">
        <v>31</v>
      </c>
      <c r="C530" s="24">
        <v>0.15</v>
      </c>
      <c r="D530" s="235">
        <v>111.35</v>
      </c>
      <c r="E530" s="234"/>
      <c r="F530" s="234"/>
      <c r="G530" s="153">
        <f>G529-D530</f>
        <v>2828391.4600000009</v>
      </c>
      <c r="H530" s="376" t="s">
        <v>25</v>
      </c>
      <c r="I530" s="15" t="s">
        <v>116</v>
      </c>
      <c r="J530" s="117" t="s">
        <v>117</v>
      </c>
      <c r="K530" s="15"/>
      <c r="L530" s="416" t="s">
        <v>437</v>
      </c>
      <c r="M530" t="str">
        <f t="shared" si="45"/>
        <v/>
      </c>
      <c r="N530" t="str">
        <f t="shared" si="52"/>
        <v/>
      </c>
    </row>
    <row r="531" spans="1:14" ht="15" thickBot="1">
      <c r="A531" s="69">
        <v>46244</v>
      </c>
      <c r="B531" s="378" t="s">
        <v>346</v>
      </c>
      <c r="C531" s="72"/>
      <c r="D531" s="73"/>
      <c r="E531" s="70">
        <v>29.67</v>
      </c>
      <c r="F531" s="72">
        <v>26256.3</v>
      </c>
      <c r="G531" s="74">
        <f>G530+F531</f>
        <v>2854647.7600000007</v>
      </c>
      <c r="H531" s="75" t="s">
        <v>10</v>
      </c>
      <c r="I531" s="391" t="s">
        <v>127</v>
      </c>
      <c r="J531" s="516" t="s">
        <v>738</v>
      </c>
      <c r="K531" s="416" t="s">
        <v>127</v>
      </c>
      <c r="L531" s="15"/>
      <c r="M531" t="str">
        <f t="shared" si="45"/>
        <v/>
      </c>
      <c r="N531" t="str">
        <f t="shared" si="52"/>
        <v/>
      </c>
    </row>
    <row r="532" spans="1:14" ht="29.5" thickBot="1">
      <c r="A532" s="69">
        <v>46244</v>
      </c>
      <c r="B532" s="378" t="s">
        <v>347</v>
      </c>
      <c r="C532" s="72"/>
      <c r="D532" s="73"/>
      <c r="E532" s="70">
        <v>4.75</v>
      </c>
      <c r="F532" s="72">
        <v>4201.25</v>
      </c>
      <c r="G532" s="74">
        <f>G531+F532</f>
        <v>2858849.0100000007</v>
      </c>
      <c r="H532" s="75" t="s">
        <v>10</v>
      </c>
      <c r="I532" s="391" t="s">
        <v>127</v>
      </c>
      <c r="J532" s="516" t="s">
        <v>738</v>
      </c>
      <c r="K532" s="416" t="s">
        <v>127</v>
      </c>
      <c r="L532" s="15"/>
      <c r="M532" t="str">
        <f t="shared" ref="M532:M595" si="56">IF(E532="","",IF(E532=F532,"OJOOO",""))</f>
        <v/>
      </c>
      <c r="N532" t="str">
        <f t="shared" si="52"/>
        <v/>
      </c>
    </row>
    <row r="533" spans="1:14" ht="29.5" thickBot="1">
      <c r="A533" s="231">
        <v>46244</v>
      </c>
      <c r="B533" s="377" t="s">
        <v>348</v>
      </c>
      <c r="C533" s="24">
        <v>70.61</v>
      </c>
      <c r="D533" s="235">
        <v>62492.37</v>
      </c>
      <c r="E533" s="234"/>
      <c r="F533" s="234"/>
      <c r="G533" s="153">
        <f>G532-D533</f>
        <v>2796356.6400000006</v>
      </c>
      <c r="H533" s="376" t="s">
        <v>10</v>
      </c>
      <c r="I533" s="394" t="s">
        <v>119</v>
      </c>
      <c r="J533" s="393" t="s">
        <v>121</v>
      </c>
      <c r="K533" s="15"/>
      <c r="L533" s="416" t="s">
        <v>437</v>
      </c>
      <c r="M533" t="str">
        <f t="shared" si="56"/>
        <v/>
      </c>
      <c r="N533" t="str">
        <f t="shared" si="52"/>
        <v/>
      </c>
    </row>
    <row r="534" spans="1:14" ht="15" thickBot="1">
      <c r="A534" s="231">
        <v>46244</v>
      </c>
      <c r="B534" s="379" t="s">
        <v>31</v>
      </c>
      <c r="C534" s="24">
        <v>0.21</v>
      </c>
      <c r="D534" s="24">
        <v>187.47</v>
      </c>
      <c r="E534" s="234"/>
      <c r="F534" s="234"/>
      <c r="G534" s="153">
        <f>G533-D534</f>
        <v>2796169.1700000004</v>
      </c>
      <c r="H534" s="380" t="s">
        <v>25</v>
      </c>
      <c r="I534" s="15" t="s">
        <v>116</v>
      </c>
      <c r="J534" s="117" t="s">
        <v>117</v>
      </c>
      <c r="K534" s="15"/>
      <c r="L534" s="416" t="s">
        <v>437</v>
      </c>
      <c r="M534" t="str">
        <f t="shared" si="56"/>
        <v/>
      </c>
      <c r="N534" t="str">
        <f t="shared" si="52"/>
        <v/>
      </c>
    </row>
    <row r="535" spans="1:14" ht="15" thickBot="1">
      <c r="A535" s="69">
        <v>46244</v>
      </c>
      <c r="B535" s="70" t="s">
        <v>349</v>
      </c>
      <c r="C535" s="72"/>
      <c r="D535" s="73"/>
      <c r="E535" s="381">
        <v>980.39</v>
      </c>
      <c r="F535" s="72">
        <v>867725.04</v>
      </c>
      <c r="G535" s="74">
        <f>G534+F535</f>
        <v>3663894.2100000004</v>
      </c>
      <c r="H535" s="75" t="s">
        <v>10</v>
      </c>
      <c r="I535" s="391" t="s">
        <v>127</v>
      </c>
      <c r="J535" s="519" t="s">
        <v>740</v>
      </c>
      <c r="K535" s="416" t="s">
        <v>127</v>
      </c>
      <c r="L535" s="15"/>
      <c r="M535" t="str">
        <f t="shared" si="56"/>
        <v/>
      </c>
      <c r="N535" t="str">
        <f t="shared" si="52"/>
        <v/>
      </c>
    </row>
    <row r="536" spans="1:14" ht="15" thickBot="1">
      <c r="A536" s="69">
        <v>46245</v>
      </c>
      <c r="B536" s="70" t="s">
        <v>350</v>
      </c>
      <c r="C536" s="72"/>
      <c r="D536" s="73"/>
      <c r="E536" s="70">
        <v>34.89</v>
      </c>
      <c r="F536" s="72">
        <v>30877.41</v>
      </c>
      <c r="G536" s="74">
        <f>G535+F536</f>
        <v>3694771.6200000006</v>
      </c>
      <c r="H536" s="75" t="s">
        <v>13</v>
      </c>
      <c r="I536" s="391" t="s">
        <v>127</v>
      </c>
      <c r="J536" s="516" t="s">
        <v>738</v>
      </c>
      <c r="K536" s="416" t="s">
        <v>127</v>
      </c>
      <c r="L536" s="15"/>
      <c r="M536" t="str">
        <f t="shared" si="56"/>
        <v/>
      </c>
      <c r="N536" t="str">
        <f t="shared" si="52"/>
        <v/>
      </c>
    </row>
    <row r="537" spans="1:14" ht="15" thickBot="1">
      <c r="A537" s="69">
        <v>46245</v>
      </c>
      <c r="B537" s="70" t="s">
        <v>342</v>
      </c>
      <c r="C537" s="72"/>
      <c r="D537" s="73"/>
      <c r="E537" s="70">
        <v>20.350000000000001</v>
      </c>
      <c r="F537" s="72">
        <v>18011.830000000002</v>
      </c>
      <c r="G537" s="74">
        <f t="shared" ref="G537:G538" si="57">G536+F537</f>
        <v>3712783.4500000007</v>
      </c>
      <c r="H537" s="75" t="s">
        <v>13</v>
      </c>
      <c r="I537" s="391" t="s">
        <v>127</v>
      </c>
      <c r="J537" s="516" t="s">
        <v>738</v>
      </c>
      <c r="K537" s="416" t="s">
        <v>127</v>
      </c>
      <c r="L537" s="15"/>
      <c r="M537" t="str">
        <f t="shared" si="56"/>
        <v/>
      </c>
      <c r="N537" t="str">
        <f t="shared" si="52"/>
        <v/>
      </c>
    </row>
    <row r="538" spans="1:14" ht="15" thickBot="1">
      <c r="A538" s="69">
        <v>46245</v>
      </c>
      <c r="B538" s="70" t="s">
        <v>351</v>
      </c>
      <c r="C538" s="72"/>
      <c r="D538" s="73"/>
      <c r="E538" s="70">
        <v>17.420000000000002</v>
      </c>
      <c r="F538" s="72">
        <v>15420.72</v>
      </c>
      <c r="G538" s="74">
        <f t="shared" si="57"/>
        <v>3728204.1700000009</v>
      </c>
      <c r="H538" s="75" t="s">
        <v>13</v>
      </c>
      <c r="I538" s="391" t="s">
        <v>127</v>
      </c>
      <c r="J538" s="516" t="s">
        <v>738</v>
      </c>
      <c r="K538" s="416" t="s">
        <v>127</v>
      </c>
      <c r="L538" s="15"/>
      <c r="M538" t="str">
        <f t="shared" si="56"/>
        <v/>
      </c>
      <c r="N538" t="str">
        <f t="shared" si="52"/>
        <v/>
      </c>
    </row>
    <row r="539" spans="1:14" ht="15" thickBot="1">
      <c r="A539" s="231">
        <v>46245</v>
      </c>
      <c r="B539" s="363" t="s">
        <v>309</v>
      </c>
      <c r="C539" s="24">
        <v>0.52</v>
      </c>
      <c r="D539" s="235">
        <v>463.16</v>
      </c>
      <c r="E539" s="234"/>
      <c r="F539" s="234"/>
      <c r="G539" s="153">
        <f>G538-D539</f>
        <v>3727741.0100000007</v>
      </c>
      <c r="H539" s="380" t="s">
        <v>25</v>
      </c>
      <c r="I539" s="15" t="s">
        <v>116</v>
      </c>
      <c r="J539" s="117" t="s">
        <v>117</v>
      </c>
      <c r="K539" s="15"/>
      <c r="L539" s="416" t="s">
        <v>437</v>
      </c>
      <c r="M539" t="str">
        <f t="shared" si="56"/>
        <v/>
      </c>
      <c r="N539" t="str">
        <f t="shared" si="52"/>
        <v/>
      </c>
    </row>
    <row r="540" spans="1:14" ht="15" thickBot="1">
      <c r="A540" s="231">
        <v>46245</v>
      </c>
      <c r="B540" s="363" t="s">
        <v>309</v>
      </c>
      <c r="C540" s="24">
        <v>0.31</v>
      </c>
      <c r="D540" s="235">
        <v>270.17</v>
      </c>
      <c r="E540" s="234"/>
      <c r="F540" s="234"/>
      <c r="G540" s="153">
        <f t="shared" ref="G540:G541" si="58">G539-D540</f>
        <v>3727470.8400000008</v>
      </c>
      <c r="H540" s="380" t="s">
        <v>25</v>
      </c>
      <c r="I540" s="15" t="s">
        <v>116</v>
      </c>
      <c r="J540" s="117" t="s">
        <v>117</v>
      </c>
      <c r="K540" s="15"/>
      <c r="L540" s="416" t="s">
        <v>437</v>
      </c>
      <c r="M540" t="str">
        <f t="shared" si="56"/>
        <v/>
      </c>
      <c r="N540" t="str">
        <f t="shared" si="52"/>
        <v/>
      </c>
    </row>
    <row r="541" spans="1:14" ht="15" thickBot="1">
      <c r="A541" s="231">
        <v>46245</v>
      </c>
      <c r="B541" s="363" t="s">
        <v>309</v>
      </c>
      <c r="C541" s="24">
        <v>0.26</v>
      </c>
      <c r="D541" s="235">
        <v>231.31</v>
      </c>
      <c r="E541" s="234"/>
      <c r="F541" s="234"/>
      <c r="G541" s="153">
        <f t="shared" si="58"/>
        <v>3727239.5300000007</v>
      </c>
      <c r="H541" s="380" t="s">
        <v>25</v>
      </c>
      <c r="I541" s="15" t="s">
        <v>116</v>
      </c>
      <c r="J541" s="117" t="s">
        <v>117</v>
      </c>
      <c r="K541" s="15"/>
      <c r="L541" s="416" t="s">
        <v>437</v>
      </c>
      <c r="M541" t="str">
        <f t="shared" si="56"/>
        <v/>
      </c>
      <c r="N541" t="str">
        <f t="shared" si="52"/>
        <v/>
      </c>
    </row>
    <row r="542" spans="1:14" ht="15" thickBot="1">
      <c r="A542" s="69">
        <v>46245</v>
      </c>
      <c r="B542" s="70" t="s">
        <v>352</v>
      </c>
      <c r="C542" s="72"/>
      <c r="D542" s="73"/>
      <c r="E542" s="381">
        <v>5151.3500000000004</v>
      </c>
      <c r="F542" s="72">
        <v>3950362.78</v>
      </c>
      <c r="G542" s="74">
        <f>G541+F542</f>
        <v>7677602.3100000005</v>
      </c>
      <c r="H542" s="75" t="s">
        <v>10</v>
      </c>
      <c r="I542" s="391" t="s">
        <v>127</v>
      </c>
      <c r="J542" s="519" t="s">
        <v>737</v>
      </c>
      <c r="K542" s="416" t="s">
        <v>127</v>
      </c>
      <c r="L542" s="15"/>
      <c r="M542" t="str">
        <f t="shared" si="56"/>
        <v/>
      </c>
      <c r="N542" t="str">
        <f t="shared" si="52"/>
        <v/>
      </c>
    </row>
    <row r="543" spans="1:14" ht="15" thickBot="1">
      <c r="A543" s="231">
        <v>46245</v>
      </c>
      <c r="B543" s="379" t="s">
        <v>353</v>
      </c>
      <c r="C543" s="24">
        <v>86</v>
      </c>
      <c r="D543" s="235">
        <v>76121</v>
      </c>
      <c r="E543" s="234"/>
      <c r="F543" s="234"/>
      <c r="G543" s="153">
        <f t="shared" ref="G543:G548" si="59">G542-D543</f>
        <v>7601481.3100000005</v>
      </c>
      <c r="H543" s="380" t="s">
        <v>13</v>
      </c>
      <c r="I543" s="393" t="s">
        <v>116</v>
      </c>
      <c r="J543" s="393" t="s">
        <v>391</v>
      </c>
      <c r="K543" s="15"/>
      <c r="L543" s="416" t="s">
        <v>437</v>
      </c>
      <c r="M543" t="str">
        <f t="shared" si="56"/>
        <v/>
      </c>
      <c r="N543" t="str">
        <f t="shared" si="52"/>
        <v/>
      </c>
    </row>
    <row r="544" spans="1:14" ht="15" thickBot="1">
      <c r="A544" s="231">
        <v>46245</v>
      </c>
      <c r="B544" s="382" t="s">
        <v>354</v>
      </c>
      <c r="C544" s="24">
        <v>427.91</v>
      </c>
      <c r="D544" s="235">
        <v>380608.35</v>
      </c>
      <c r="E544" s="234"/>
      <c r="F544" s="234"/>
      <c r="G544" s="153">
        <f t="shared" si="59"/>
        <v>7220872.9600000009</v>
      </c>
      <c r="H544" s="383" t="s">
        <v>10</v>
      </c>
      <c r="I544" s="393" t="s">
        <v>119</v>
      </c>
      <c r="J544" s="416" t="s">
        <v>447</v>
      </c>
      <c r="K544" s="15"/>
      <c r="L544" s="416" t="s">
        <v>437</v>
      </c>
      <c r="M544" t="str">
        <f t="shared" si="56"/>
        <v/>
      </c>
      <c r="N544" t="str">
        <f t="shared" si="52"/>
        <v/>
      </c>
    </row>
    <row r="545" spans="1:14" ht="15" thickBot="1">
      <c r="A545" s="231">
        <v>46245</v>
      </c>
      <c r="B545" s="382" t="s">
        <v>31</v>
      </c>
      <c r="C545" s="24">
        <v>1.28</v>
      </c>
      <c r="D545" s="235">
        <v>1141.82</v>
      </c>
      <c r="E545" s="234"/>
      <c r="F545" s="234"/>
      <c r="G545" s="153">
        <f t="shared" si="59"/>
        <v>7219731.1400000006</v>
      </c>
      <c r="H545" s="383" t="s">
        <v>25</v>
      </c>
      <c r="I545" s="15" t="s">
        <v>116</v>
      </c>
      <c r="J545" s="117" t="s">
        <v>117</v>
      </c>
      <c r="K545" s="15"/>
      <c r="L545" s="416" t="s">
        <v>437</v>
      </c>
      <c r="M545" t="str">
        <f t="shared" si="56"/>
        <v/>
      </c>
      <c r="N545" t="str">
        <f t="shared" si="52"/>
        <v/>
      </c>
    </row>
    <row r="546" spans="1:14" ht="29.5" thickBot="1">
      <c r="A546" s="231">
        <v>46245</v>
      </c>
      <c r="B546" s="384" t="s">
        <v>355</v>
      </c>
      <c r="C546" s="24">
        <v>69.489999999999995</v>
      </c>
      <c r="D546" s="235">
        <v>61810.8</v>
      </c>
      <c r="E546" s="234"/>
      <c r="F546" s="234"/>
      <c r="G546" s="153">
        <f t="shared" si="59"/>
        <v>7157920.3400000008</v>
      </c>
      <c r="H546" s="383" t="s">
        <v>10</v>
      </c>
      <c r="I546" s="393" t="s">
        <v>116</v>
      </c>
      <c r="J546" s="393" t="s">
        <v>391</v>
      </c>
      <c r="K546" s="15"/>
      <c r="L546" s="416" t="s">
        <v>437</v>
      </c>
      <c r="M546" t="str">
        <f t="shared" si="56"/>
        <v/>
      </c>
      <c r="N546" t="str">
        <f t="shared" si="52"/>
        <v/>
      </c>
    </row>
    <row r="547" spans="1:14" ht="15" thickBot="1">
      <c r="A547" s="231">
        <v>46245</v>
      </c>
      <c r="B547" s="382" t="s">
        <v>31</v>
      </c>
      <c r="C547" s="24">
        <v>0.21</v>
      </c>
      <c r="D547" s="235">
        <v>185.43</v>
      </c>
      <c r="E547" s="234"/>
      <c r="F547" s="234"/>
      <c r="G547" s="153">
        <f t="shared" si="59"/>
        <v>7157734.9100000011</v>
      </c>
      <c r="H547" s="383" t="s">
        <v>25</v>
      </c>
      <c r="I547" s="15" t="s">
        <v>116</v>
      </c>
      <c r="J547" s="117" t="s">
        <v>117</v>
      </c>
      <c r="K547" s="15"/>
      <c r="L547" s="416" t="s">
        <v>437</v>
      </c>
      <c r="M547" t="str">
        <f t="shared" si="56"/>
        <v/>
      </c>
      <c r="N547" t="str">
        <f t="shared" si="52"/>
        <v/>
      </c>
    </row>
    <row r="548" spans="1:14" ht="29.5" thickBot="1">
      <c r="A548" s="231">
        <v>46245</v>
      </c>
      <c r="B548" s="384" t="s">
        <v>356</v>
      </c>
      <c r="C548" s="24">
        <v>17.12</v>
      </c>
      <c r="D548" s="235">
        <v>15224.33</v>
      </c>
      <c r="E548" s="234"/>
      <c r="F548" s="234"/>
      <c r="G548" s="153">
        <f t="shared" si="59"/>
        <v>7142510.580000001</v>
      </c>
      <c r="H548" s="383" t="s">
        <v>10</v>
      </c>
      <c r="I548" s="393" t="s">
        <v>116</v>
      </c>
      <c r="J548" s="393" t="s">
        <v>20</v>
      </c>
      <c r="K548" s="15"/>
      <c r="L548" s="416" t="s">
        <v>437</v>
      </c>
      <c r="M548" t="str">
        <f t="shared" si="56"/>
        <v/>
      </c>
      <c r="N548" t="str">
        <f t="shared" si="52"/>
        <v/>
      </c>
    </row>
    <row r="549" spans="1:14" ht="15" thickBot="1">
      <c r="A549" s="69">
        <v>46245</v>
      </c>
      <c r="B549" s="70" t="s">
        <v>358</v>
      </c>
      <c r="C549" s="72"/>
      <c r="D549" s="73"/>
      <c r="E549" s="72">
        <v>104.4</v>
      </c>
      <c r="F549" s="72">
        <v>92859.35</v>
      </c>
      <c r="G549" s="74">
        <f>G548+F549</f>
        <v>7235369.9300000006</v>
      </c>
      <c r="H549" s="75" t="s">
        <v>10</v>
      </c>
      <c r="I549" s="391" t="s">
        <v>127</v>
      </c>
      <c r="J549" s="519" t="s">
        <v>740</v>
      </c>
      <c r="K549" s="416" t="s">
        <v>127</v>
      </c>
      <c r="L549" s="15"/>
      <c r="M549" t="str">
        <f t="shared" si="56"/>
        <v/>
      </c>
      <c r="N549" t="str">
        <f t="shared" si="52"/>
        <v/>
      </c>
    </row>
    <row r="550" spans="1:14" ht="15" thickBot="1">
      <c r="A550" s="69">
        <v>46246</v>
      </c>
      <c r="B550" s="70" t="s">
        <v>344</v>
      </c>
      <c r="C550" s="72"/>
      <c r="D550" s="73"/>
      <c r="E550" s="70">
        <v>43.14</v>
      </c>
      <c r="F550" s="72">
        <v>38585.07</v>
      </c>
      <c r="G550" s="74">
        <f t="shared" ref="G550:G552" si="60">G549+F550</f>
        <v>7273955.0000000009</v>
      </c>
      <c r="H550" s="75" t="s">
        <v>13</v>
      </c>
      <c r="I550" s="391" t="s">
        <v>127</v>
      </c>
      <c r="J550" s="516" t="s">
        <v>738</v>
      </c>
      <c r="K550" s="416" t="s">
        <v>127</v>
      </c>
      <c r="L550" s="15"/>
      <c r="M550" t="str">
        <f t="shared" si="56"/>
        <v/>
      </c>
      <c r="N550" t="str">
        <f t="shared" si="52"/>
        <v/>
      </c>
    </row>
    <row r="551" spans="1:14" ht="15" thickBot="1">
      <c r="A551" s="69">
        <v>46246</v>
      </c>
      <c r="B551" s="70" t="s">
        <v>359</v>
      </c>
      <c r="C551" s="72"/>
      <c r="D551" s="73"/>
      <c r="E551" s="70">
        <v>37.57</v>
      </c>
      <c r="F551" s="72">
        <v>33602.879999999997</v>
      </c>
      <c r="G551" s="74">
        <f t="shared" si="60"/>
        <v>7307557.8800000008</v>
      </c>
      <c r="H551" s="75" t="s">
        <v>13</v>
      </c>
      <c r="I551" s="391" t="s">
        <v>127</v>
      </c>
      <c r="J551" s="516" t="s">
        <v>738</v>
      </c>
      <c r="K551" s="416" t="s">
        <v>127</v>
      </c>
      <c r="L551" s="15"/>
      <c r="M551" t="str">
        <f t="shared" si="56"/>
        <v/>
      </c>
      <c r="N551" t="str">
        <f t="shared" si="52"/>
        <v/>
      </c>
    </row>
    <row r="552" spans="1:14" ht="15" thickBot="1">
      <c r="A552" s="69">
        <v>46246</v>
      </c>
      <c r="B552" s="70" t="s">
        <v>360</v>
      </c>
      <c r="C552" s="72"/>
      <c r="D552" s="73"/>
      <c r="E552" s="70">
        <v>14.46</v>
      </c>
      <c r="F552" s="72">
        <v>12930.71</v>
      </c>
      <c r="G552" s="74">
        <f t="shared" si="60"/>
        <v>7320488.5900000008</v>
      </c>
      <c r="H552" s="75" t="s">
        <v>13</v>
      </c>
      <c r="I552" s="391" t="s">
        <v>127</v>
      </c>
      <c r="J552" s="516" t="s">
        <v>738</v>
      </c>
      <c r="K552" s="416" t="s">
        <v>127</v>
      </c>
      <c r="L552" s="15"/>
      <c r="M552" t="str">
        <f t="shared" si="56"/>
        <v/>
      </c>
      <c r="N552" t="str">
        <f t="shared" si="52"/>
        <v/>
      </c>
    </row>
    <row r="553" spans="1:14" ht="15" thickBot="1">
      <c r="A553" s="231">
        <v>46246</v>
      </c>
      <c r="B553" s="363" t="s">
        <v>309</v>
      </c>
      <c r="C553" s="24">
        <v>0.65</v>
      </c>
      <c r="D553" s="235">
        <v>578.77</v>
      </c>
      <c r="E553" s="234"/>
      <c r="F553" s="234"/>
      <c r="G553" s="153">
        <f>G552-D553</f>
        <v>7319909.8200000012</v>
      </c>
      <c r="H553" s="385" t="s">
        <v>25</v>
      </c>
      <c r="I553" s="393" t="s">
        <v>116</v>
      </c>
      <c r="J553" s="117" t="s">
        <v>117</v>
      </c>
      <c r="K553" s="15"/>
      <c r="L553" s="416" t="s">
        <v>437</v>
      </c>
      <c r="M553" t="str">
        <f t="shared" si="56"/>
        <v/>
      </c>
      <c r="N553" t="str">
        <f t="shared" si="52"/>
        <v/>
      </c>
    </row>
    <row r="554" spans="1:14" ht="15" thickBot="1">
      <c r="A554" s="231">
        <v>46246</v>
      </c>
      <c r="B554" s="363" t="s">
        <v>309</v>
      </c>
      <c r="C554" s="24">
        <v>0.56000000000000005</v>
      </c>
      <c r="D554" s="235">
        <v>504.04</v>
      </c>
      <c r="E554" s="234"/>
      <c r="F554" s="234"/>
      <c r="G554" s="153">
        <f t="shared" ref="G554:G555" si="61">G553-D554</f>
        <v>7319405.7800000012</v>
      </c>
      <c r="H554" s="385" t="s">
        <v>25</v>
      </c>
      <c r="I554" s="393" t="s">
        <v>116</v>
      </c>
      <c r="J554" s="117" t="s">
        <v>117</v>
      </c>
      <c r="K554" s="15"/>
      <c r="L554" s="416" t="s">
        <v>437</v>
      </c>
      <c r="M554" t="str">
        <f t="shared" si="56"/>
        <v/>
      </c>
      <c r="N554" t="str">
        <f t="shared" si="52"/>
        <v/>
      </c>
    </row>
    <row r="555" spans="1:14" ht="15" thickBot="1">
      <c r="A555" s="231">
        <v>46246</v>
      </c>
      <c r="B555" s="363" t="s">
        <v>309</v>
      </c>
      <c r="C555" s="24">
        <v>0.22</v>
      </c>
      <c r="D555" s="235">
        <v>193.96</v>
      </c>
      <c r="E555" s="234"/>
      <c r="F555" s="234"/>
      <c r="G555" s="153">
        <f t="shared" si="61"/>
        <v>7319211.8200000012</v>
      </c>
      <c r="H555" s="385" t="s">
        <v>25</v>
      </c>
      <c r="I555" s="393" t="s">
        <v>116</v>
      </c>
      <c r="J555" s="117" t="s">
        <v>117</v>
      </c>
      <c r="K555" s="15"/>
      <c r="L555" s="416" t="s">
        <v>437</v>
      </c>
      <c r="M555" t="str">
        <f t="shared" si="56"/>
        <v/>
      </c>
      <c r="N555" t="str">
        <f t="shared" si="52"/>
        <v/>
      </c>
    </row>
    <row r="556" spans="1:14" ht="15" thickBot="1">
      <c r="A556" s="69">
        <v>46246</v>
      </c>
      <c r="B556" s="70" t="s">
        <v>361</v>
      </c>
      <c r="C556" s="72"/>
      <c r="D556" s="73"/>
      <c r="E556" s="70">
        <v>75.209999999999994</v>
      </c>
      <c r="F556" s="72">
        <v>67270.27</v>
      </c>
      <c r="G556" s="74">
        <f>G555+F556</f>
        <v>7386482.0900000008</v>
      </c>
      <c r="H556" s="75" t="s">
        <v>85</v>
      </c>
      <c r="I556" s="391" t="s">
        <v>127</v>
      </c>
      <c r="J556" s="519" t="s">
        <v>740</v>
      </c>
      <c r="K556" s="416" t="s">
        <v>127</v>
      </c>
      <c r="L556" s="15"/>
      <c r="M556" t="str">
        <f t="shared" si="56"/>
        <v/>
      </c>
      <c r="N556" t="str">
        <f t="shared" si="52"/>
        <v/>
      </c>
    </row>
    <row r="557" spans="1:14" ht="15" thickBot="1">
      <c r="A557" s="69">
        <v>46246</v>
      </c>
      <c r="B557" s="70" t="s">
        <v>362</v>
      </c>
      <c r="C557" s="72"/>
      <c r="D557" s="73"/>
      <c r="E557" s="70">
        <v>221.34</v>
      </c>
      <c r="F557" s="72">
        <v>197986.96</v>
      </c>
      <c r="G557" s="74">
        <f>G556+F557</f>
        <v>7584469.0500000007</v>
      </c>
      <c r="H557" s="75" t="s">
        <v>10</v>
      </c>
      <c r="I557" s="391" t="s">
        <v>127</v>
      </c>
      <c r="J557" s="519" t="s">
        <v>740</v>
      </c>
      <c r="K557" s="416" t="s">
        <v>127</v>
      </c>
      <c r="L557" s="15"/>
      <c r="M557" t="str">
        <f t="shared" si="56"/>
        <v/>
      </c>
      <c r="N557" t="str">
        <f t="shared" si="52"/>
        <v/>
      </c>
    </row>
    <row r="558" spans="1:14" ht="15" thickBot="1">
      <c r="A558" s="231">
        <v>46246</v>
      </c>
      <c r="B558" s="386" t="s">
        <v>363</v>
      </c>
      <c r="C558" s="24">
        <v>8.1999999999999993</v>
      </c>
      <c r="D558" s="235">
        <v>7331.71</v>
      </c>
      <c r="E558" s="234"/>
      <c r="F558" s="234"/>
      <c r="G558" s="153">
        <f>G557-D558</f>
        <v>7577137.3400000008</v>
      </c>
      <c r="H558" s="385" t="s">
        <v>10</v>
      </c>
      <c r="I558" s="393" t="s">
        <v>266</v>
      </c>
      <c r="J558" s="393" t="s">
        <v>392</v>
      </c>
      <c r="K558" s="15"/>
      <c r="L558" s="416" t="s">
        <v>437</v>
      </c>
      <c r="M558" t="str">
        <f t="shared" si="56"/>
        <v/>
      </c>
      <c r="N558" t="str">
        <f t="shared" si="52"/>
        <v/>
      </c>
    </row>
    <row r="559" spans="1:14" ht="15" thickBot="1">
      <c r="A559" s="231">
        <v>46246</v>
      </c>
      <c r="B559" s="382" t="s">
        <v>31</v>
      </c>
      <c r="C559" s="24">
        <v>0.02</v>
      </c>
      <c r="D559" s="235">
        <v>21.99</v>
      </c>
      <c r="E559" s="234"/>
      <c r="F559" s="234"/>
      <c r="G559" s="153">
        <f>G558-D559</f>
        <v>7577115.3500000006</v>
      </c>
      <c r="H559" s="385" t="s">
        <v>25</v>
      </c>
      <c r="I559" s="393" t="s">
        <v>116</v>
      </c>
      <c r="J559" s="117" t="s">
        <v>117</v>
      </c>
      <c r="K559" s="15"/>
      <c r="L559" s="416" t="s">
        <v>437</v>
      </c>
      <c r="M559" t="str">
        <f t="shared" si="56"/>
        <v/>
      </c>
      <c r="N559" t="str">
        <f t="shared" si="52"/>
        <v/>
      </c>
    </row>
    <row r="560" spans="1:14" ht="15" thickBot="1">
      <c r="A560" s="231">
        <v>46246</v>
      </c>
      <c r="B560" s="386" t="s">
        <v>364</v>
      </c>
      <c r="C560" s="24">
        <v>144.77000000000001</v>
      </c>
      <c r="D560" s="235">
        <v>129494.51</v>
      </c>
      <c r="E560" s="234"/>
      <c r="F560" s="234"/>
      <c r="G560" s="153">
        <f>G559-D560</f>
        <v>7447620.8400000008</v>
      </c>
      <c r="H560" s="385" t="s">
        <v>10</v>
      </c>
      <c r="I560" s="393" t="s">
        <v>119</v>
      </c>
      <c r="J560" s="393" t="s">
        <v>117</v>
      </c>
      <c r="K560" s="15"/>
      <c r="L560" s="416" t="s">
        <v>437</v>
      </c>
      <c r="M560" t="str">
        <f t="shared" si="56"/>
        <v/>
      </c>
      <c r="N560" t="str">
        <f t="shared" si="52"/>
        <v/>
      </c>
    </row>
    <row r="561" spans="1:14" ht="15" thickBot="1">
      <c r="A561" s="231">
        <v>46246</v>
      </c>
      <c r="B561" s="386" t="s">
        <v>31</v>
      </c>
      <c r="C561" s="24">
        <v>0.43</v>
      </c>
      <c r="D561" s="235">
        <v>388.48</v>
      </c>
      <c r="E561" s="234"/>
      <c r="F561" s="234"/>
      <c r="G561" s="153">
        <f>G560-D561</f>
        <v>7447232.3600000003</v>
      </c>
      <c r="H561" s="385" t="s">
        <v>25</v>
      </c>
      <c r="I561" s="393" t="s">
        <v>116</v>
      </c>
      <c r="J561" s="117" t="s">
        <v>117</v>
      </c>
      <c r="K561" s="15"/>
      <c r="L561" s="416" t="s">
        <v>437</v>
      </c>
      <c r="M561" t="str">
        <f t="shared" si="56"/>
        <v/>
      </c>
      <c r="N561" t="str">
        <f t="shared" si="52"/>
        <v/>
      </c>
    </row>
    <row r="562" spans="1:14" ht="15" thickBot="1">
      <c r="A562" s="69">
        <v>46247</v>
      </c>
      <c r="B562" s="70" t="s">
        <v>350</v>
      </c>
      <c r="C562" s="72"/>
      <c r="D562" s="73"/>
      <c r="E562" s="70">
        <v>20.3</v>
      </c>
      <c r="F562" s="72">
        <v>18157.669999999998</v>
      </c>
      <c r="G562" s="74">
        <f>G561+F562</f>
        <v>7465390.0300000003</v>
      </c>
      <c r="H562" s="75" t="s">
        <v>13</v>
      </c>
      <c r="I562" s="391" t="s">
        <v>127</v>
      </c>
      <c r="J562" s="516" t="s">
        <v>738</v>
      </c>
      <c r="K562" s="416" t="s">
        <v>127</v>
      </c>
      <c r="L562" s="15"/>
      <c r="M562" t="str">
        <f t="shared" si="56"/>
        <v/>
      </c>
      <c r="N562" t="str">
        <f t="shared" si="52"/>
        <v/>
      </c>
    </row>
    <row r="563" spans="1:14" ht="15" thickBot="1">
      <c r="A563" s="69">
        <v>46247</v>
      </c>
      <c r="B563" s="70" t="s">
        <v>365</v>
      </c>
      <c r="C563" s="72"/>
      <c r="D563" s="73"/>
      <c r="E563" s="70">
        <v>11.6</v>
      </c>
      <c r="F563" s="72">
        <v>10375.81</v>
      </c>
      <c r="G563" s="74">
        <f t="shared" ref="G563:G564" si="62">G562+F563</f>
        <v>7475765.8399999999</v>
      </c>
      <c r="H563" s="75" t="s">
        <v>13</v>
      </c>
      <c r="I563" s="391" t="s">
        <v>127</v>
      </c>
      <c r="J563" s="516" t="s">
        <v>738</v>
      </c>
      <c r="K563" s="416" t="s">
        <v>127</v>
      </c>
      <c r="L563" s="15"/>
      <c r="M563" t="str">
        <f t="shared" si="56"/>
        <v/>
      </c>
      <c r="N563" t="str">
        <f t="shared" si="52"/>
        <v/>
      </c>
    </row>
    <row r="564" spans="1:14" ht="15" thickBot="1">
      <c r="A564" s="69">
        <v>46247</v>
      </c>
      <c r="B564" s="70" t="s">
        <v>366</v>
      </c>
      <c r="C564" s="72"/>
      <c r="D564" s="73"/>
      <c r="E564" s="70">
        <v>8.6999999999999993</v>
      </c>
      <c r="F564" s="72">
        <v>7781.86</v>
      </c>
      <c r="G564" s="74">
        <f t="shared" si="62"/>
        <v>7483547.7000000002</v>
      </c>
      <c r="H564" s="75" t="s">
        <v>13</v>
      </c>
      <c r="I564" s="391" t="s">
        <v>127</v>
      </c>
      <c r="J564" s="516" t="s">
        <v>738</v>
      </c>
      <c r="K564" s="416" t="s">
        <v>127</v>
      </c>
      <c r="L564" s="15"/>
      <c r="M564" t="str">
        <f t="shared" si="56"/>
        <v/>
      </c>
      <c r="N564" t="str">
        <f t="shared" si="52"/>
        <v/>
      </c>
    </row>
    <row r="565" spans="1:14" ht="15" thickBot="1">
      <c r="A565" s="231">
        <v>46247</v>
      </c>
      <c r="B565" s="363" t="s">
        <v>309</v>
      </c>
      <c r="C565" s="24">
        <v>0.3</v>
      </c>
      <c r="D565" s="235">
        <v>272.36</v>
      </c>
      <c r="E565" s="234"/>
      <c r="F565" s="234"/>
      <c r="G565" s="153">
        <f>G564-D565</f>
        <v>7483275.3399999999</v>
      </c>
      <c r="H565" s="385" t="s">
        <v>25</v>
      </c>
      <c r="I565" s="393" t="s">
        <v>116</v>
      </c>
      <c r="J565" s="117" t="s">
        <v>117</v>
      </c>
      <c r="K565" s="15"/>
      <c r="L565" s="416" t="s">
        <v>437</v>
      </c>
      <c r="M565" t="str">
        <f t="shared" si="56"/>
        <v/>
      </c>
      <c r="N565" t="str">
        <f t="shared" si="52"/>
        <v/>
      </c>
    </row>
    <row r="566" spans="1:14" ht="15" thickBot="1">
      <c r="A566" s="231">
        <v>46247</v>
      </c>
      <c r="B566" s="363" t="s">
        <v>309</v>
      </c>
      <c r="C566" s="24">
        <v>0.17</v>
      </c>
      <c r="D566" s="235">
        <v>155.63</v>
      </c>
      <c r="E566" s="234"/>
      <c r="F566" s="234"/>
      <c r="G566" s="153">
        <f t="shared" ref="G566:G570" si="63">G565-D566</f>
        <v>7483119.71</v>
      </c>
      <c r="H566" s="385" t="s">
        <v>25</v>
      </c>
      <c r="I566" s="393" t="s">
        <v>116</v>
      </c>
      <c r="J566" s="117" t="s">
        <v>117</v>
      </c>
      <c r="K566" s="15"/>
      <c r="L566" s="416" t="s">
        <v>437</v>
      </c>
      <c r="M566" t="str">
        <f t="shared" si="56"/>
        <v/>
      </c>
      <c r="N566" t="str">
        <f t="shared" si="52"/>
        <v/>
      </c>
    </row>
    <row r="567" spans="1:14" ht="15" thickBot="1">
      <c r="A567" s="231">
        <v>46247</v>
      </c>
      <c r="B567" s="363" t="s">
        <v>309</v>
      </c>
      <c r="C567" s="24">
        <v>0.13</v>
      </c>
      <c r="D567" s="235">
        <v>116.72</v>
      </c>
      <c r="E567" s="234"/>
      <c r="F567" s="234"/>
      <c r="G567" s="153">
        <f t="shared" si="63"/>
        <v>7483002.9900000002</v>
      </c>
      <c r="H567" s="385" t="s">
        <v>25</v>
      </c>
      <c r="I567" s="393" t="s">
        <v>116</v>
      </c>
      <c r="J567" s="117" t="s">
        <v>117</v>
      </c>
      <c r="K567" s="15"/>
      <c r="L567" s="416" t="s">
        <v>437</v>
      </c>
      <c r="M567" t="str">
        <f t="shared" si="56"/>
        <v/>
      </c>
      <c r="N567" t="str">
        <f t="shared" si="52"/>
        <v/>
      </c>
    </row>
    <row r="568" spans="1:14" ht="15" thickBot="1">
      <c r="A568" s="231">
        <v>46247</v>
      </c>
      <c r="B568" s="386" t="s">
        <v>51</v>
      </c>
      <c r="C568" s="24">
        <v>24.86</v>
      </c>
      <c r="D568" s="244">
        <v>22239</v>
      </c>
      <c r="E568" s="234"/>
      <c r="F568" s="234"/>
      <c r="G568" s="153">
        <f t="shared" si="63"/>
        <v>7460763.9900000002</v>
      </c>
      <c r="H568" s="385" t="s">
        <v>13</v>
      </c>
      <c r="I568" s="393" t="s">
        <v>116</v>
      </c>
      <c r="J568" s="393" t="s">
        <v>269</v>
      </c>
      <c r="K568" s="15"/>
      <c r="L568" s="416" t="s">
        <v>437</v>
      </c>
      <c r="M568" t="str">
        <f t="shared" si="56"/>
        <v/>
      </c>
      <c r="N568" t="str">
        <f t="shared" si="52"/>
        <v/>
      </c>
    </row>
    <row r="569" spans="1:14" ht="15" thickBot="1">
      <c r="A569" s="231">
        <v>46247</v>
      </c>
      <c r="B569" s="386" t="s">
        <v>367</v>
      </c>
      <c r="C569" s="24">
        <v>10.67</v>
      </c>
      <c r="D569" s="235">
        <v>9542.11</v>
      </c>
      <c r="E569" s="234"/>
      <c r="F569" s="234"/>
      <c r="G569" s="153">
        <f t="shared" si="63"/>
        <v>7451221.8799999999</v>
      </c>
      <c r="H569" s="385" t="s">
        <v>13</v>
      </c>
      <c r="I569" s="393" t="s">
        <v>116</v>
      </c>
      <c r="J569" s="393" t="s">
        <v>269</v>
      </c>
      <c r="K569" s="15"/>
      <c r="L569" s="416" t="s">
        <v>437</v>
      </c>
      <c r="M569" t="str">
        <f t="shared" si="56"/>
        <v/>
      </c>
      <c r="N569" t="str">
        <f t="shared" si="52"/>
        <v/>
      </c>
    </row>
    <row r="570" spans="1:14" ht="15" thickBot="1">
      <c r="A570" s="231">
        <v>46247</v>
      </c>
      <c r="B570" s="386" t="s">
        <v>368</v>
      </c>
      <c r="C570" s="24">
        <v>9.86</v>
      </c>
      <c r="D570" s="235">
        <v>8818.89</v>
      </c>
      <c r="E570" s="234"/>
      <c r="F570" s="234"/>
      <c r="G570" s="153">
        <f t="shared" si="63"/>
        <v>7442402.9900000002</v>
      </c>
      <c r="H570" s="385" t="s">
        <v>13</v>
      </c>
      <c r="I570" s="393" t="s">
        <v>116</v>
      </c>
      <c r="J570" s="117" t="s">
        <v>117</v>
      </c>
      <c r="K570" s="15"/>
      <c r="L570" s="416" t="s">
        <v>437</v>
      </c>
      <c r="M570" t="str">
        <f t="shared" si="56"/>
        <v/>
      </c>
      <c r="N570" t="str">
        <f t="shared" si="52"/>
        <v/>
      </c>
    </row>
    <row r="571" spans="1:14" ht="15" thickBot="1">
      <c r="A571" s="69">
        <v>46247</v>
      </c>
      <c r="B571" s="70" t="s">
        <v>352</v>
      </c>
      <c r="C571" s="72"/>
      <c r="D571" s="73"/>
      <c r="E571" s="70">
        <v>504.88</v>
      </c>
      <c r="F571" s="72">
        <v>451608.67</v>
      </c>
      <c r="G571" s="74">
        <f>G570+F571</f>
        <v>7894011.6600000001</v>
      </c>
      <c r="H571" s="75" t="s">
        <v>10</v>
      </c>
      <c r="I571" s="391" t="s">
        <v>127</v>
      </c>
      <c r="J571" s="519" t="s">
        <v>737</v>
      </c>
      <c r="K571" s="416" t="s">
        <v>127</v>
      </c>
      <c r="L571" s="15"/>
      <c r="M571" t="str">
        <f t="shared" si="56"/>
        <v/>
      </c>
      <c r="N571" t="str">
        <f t="shared" si="52"/>
        <v/>
      </c>
    </row>
    <row r="572" spans="1:14" ht="15" thickBot="1">
      <c r="A572" s="231">
        <v>46247</v>
      </c>
      <c r="B572" s="389" t="s">
        <v>393</v>
      </c>
      <c r="C572" s="24">
        <v>74.209999999999994</v>
      </c>
      <c r="D572" s="235">
        <v>66381</v>
      </c>
      <c r="E572" s="234"/>
      <c r="F572" s="234"/>
      <c r="G572" s="153">
        <f t="shared" ref="G572:G577" si="64">G571-D572</f>
        <v>7827630.6600000001</v>
      </c>
      <c r="H572" s="385" t="s">
        <v>10</v>
      </c>
      <c r="I572" s="393" t="s">
        <v>119</v>
      </c>
      <c r="J572" s="416" t="s">
        <v>443</v>
      </c>
      <c r="K572" s="15"/>
      <c r="L572" s="416" t="s">
        <v>437</v>
      </c>
      <c r="M572" t="str">
        <f t="shared" si="56"/>
        <v/>
      </c>
      <c r="N572" t="str">
        <f t="shared" si="52"/>
        <v/>
      </c>
    </row>
    <row r="573" spans="1:14" ht="15" thickBot="1">
      <c r="A573" s="231">
        <v>46247</v>
      </c>
      <c r="B573" s="386" t="s">
        <v>31</v>
      </c>
      <c r="C573" s="24">
        <v>0.22</v>
      </c>
      <c r="D573" s="235">
        <v>199.14</v>
      </c>
      <c r="E573" s="234"/>
      <c r="F573" s="234"/>
      <c r="G573" s="153">
        <f t="shared" si="64"/>
        <v>7827431.5200000005</v>
      </c>
      <c r="H573" s="385" t="s">
        <v>25</v>
      </c>
      <c r="I573" s="393" t="s">
        <v>116</v>
      </c>
      <c r="J573" s="117" t="s">
        <v>117</v>
      </c>
      <c r="K573" s="15"/>
      <c r="L573" s="416" t="s">
        <v>437</v>
      </c>
      <c r="M573" t="str">
        <f t="shared" si="56"/>
        <v/>
      </c>
      <c r="N573" t="str">
        <f t="shared" si="52"/>
        <v/>
      </c>
    </row>
    <row r="574" spans="1:14" ht="29.5" thickBot="1">
      <c r="A574" s="231">
        <v>46247</v>
      </c>
      <c r="B574" s="387" t="s">
        <v>369</v>
      </c>
      <c r="C574" s="24">
        <v>148.68</v>
      </c>
      <c r="D574" s="235">
        <v>132996.9</v>
      </c>
      <c r="E574" s="234"/>
      <c r="F574" s="234"/>
      <c r="G574" s="153">
        <f t="shared" si="64"/>
        <v>7694434.6200000001</v>
      </c>
      <c r="H574" s="385" t="s">
        <v>10</v>
      </c>
      <c r="I574" s="393" t="s">
        <v>116</v>
      </c>
      <c r="J574" s="393" t="s">
        <v>269</v>
      </c>
      <c r="K574" s="15"/>
      <c r="L574" s="416" t="s">
        <v>437</v>
      </c>
      <c r="M574" t="str">
        <f t="shared" si="56"/>
        <v/>
      </c>
      <c r="N574" t="str">
        <f t="shared" si="52"/>
        <v/>
      </c>
    </row>
    <row r="575" spans="1:14" ht="15" thickBot="1">
      <c r="A575" s="231">
        <v>46247</v>
      </c>
      <c r="B575" s="386" t="s">
        <v>31</v>
      </c>
      <c r="C575" s="24">
        <v>0.45</v>
      </c>
      <c r="D575" s="235">
        <v>398.99</v>
      </c>
      <c r="E575" s="234"/>
      <c r="F575" s="234"/>
      <c r="G575" s="153">
        <f t="shared" si="64"/>
        <v>7694035.6299999999</v>
      </c>
      <c r="H575" s="385" t="s">
        <v>25</v>
      </c>
      <c r="I575" s="393" t="s">
        <v>116</v>
      </c>
      <c r="J575" s="117" t="s">
        <v>117</v>
      </c>
      <c r="K575" s="15"/>
      <c r="L575" s="416" t="s">
        <v>437</v>
      </c>
      <c r="M575" t="str">
        <f t="shared" si="56"/>
        <v/>
      </c>
      <c r="N575" t="str">
        <f t="shared" si="52"/>
        <v/>
      </c>
    </row>
    <row r="576" spans="1:14" ht="15" thickBot="1">
      <c r="A576" s="231">
        <v>46247</v>
      </c>
      <c r="B576" s="386" t="s">
        <v>370</v>
      </c>
      <c r="C576" s="24">
        <v>12.84</v>
      </c>
      <c r="D576" s="235">
        <v>9918</v>
      </c>
      <c r="E576" s="234"/>
      <c r="F576" s="234"/>
      <c r="G576" s="153">
        <f t="shared" si="64"/>
        <v>7684117.6299999999</v>
      </c>
      <c r="H576" s="385" t="s">
        <v>10</v>
      </c>
      <c r="I576" s="393" t="s">
        <v>116</v>
      </c>
      <c r="J576" s="393" t="s">
        <v>269</v>
      </c>
      <c r="K576" s="15"/>
      <c r="L576" s="416" t="s">
        <v>437</v>
      </c>
      <c r="M576" t="str">
        <f t="shared" si="56"/>
        <v/>
      </c>
      <c r="N576" t="str">
        <f t="shared" si="52"/>
        <v/>
      </c>
    </row>
    <row r="577" spans="1:14" ht="15" thickBot="1">
      <c r="A577" s="231">
        <v>46247</v>
      </c>
      <c r="B577" s="386" t="s">
        <v>31</v>
      </c>
      <c r="C577" s="24">
        <v>0.04</v>
      </c>
      <c r="D577" s="235">
        <v>29.75</v>
      </c>
      <c r="E577" s="234"/>
      <c r="F577" s="234"/>
      <c r="G577" s="153">
        <f t="shared" si="64"/>
        <v>7684087.8799999999</v>
      </c>
      <c r="H577" s="385" t="s">
        <v>25</v>
      </c>
      <c r="I577" s="393" t="s">
        <v>116</v>
      </c>
      <c r="J577" s="117" t="s">
        <v>117</v>
      </c>
      <c r="K577" s="15"/>
      <c r="L577" s="416" t="s">
        <v>437</v>
      </c>
      <c r="M577" t="str">
        <f t="shared" si="56"/>
        <v/>
      </c>
      <c r="N577" t="str">
        <f t="shared" si="52"/>
        <v/>
      </c>
    </row>
    <row r="578" spans="1:14" ht="15" thickBot="1">
      <c r="A578" s="69">
        <v>46247</v>
      </c>
      <c r="B578" s="70" t="s">
        <v>371</v>
      </c>
      <c r="C578" s="72"/>
      <c r="D578" s="73"/>
      <c r="E578" s="70">
        <v>87.64</v>
      </c>
      <c r="F578" s="72">
        <v>67708.570000000007</v>
      </c>
      <c r="G578" s="74">
        <f>G577+F578</f>
        <v>7751796.4500000002</v>
      </c>
      <c r="H578" s="75" t="s">
        <v>10</v>
      </c>
      <c r="I578" s="391" t="s">
        <v>127</v>
      </c>
      <c r="J578" s="519" t="s">
        <v>740</v>
      </c>
      <c r="K578" s="416" t="s">
        <v>127</v>
      </c>
      <c r="L578" s="15"/>
      <c r="M578" t="str">
        <f t="shared" si="56"/>
        <v/>
      </c>
      <c r="N578" t="str">
        <f t="shared" si="52"/>
        <v/>
      </c>
    </row>
    <row r="579" spans="1:14" ht="15" thickBot="1">
      <c r="A579" s="69">
        <v>46248</v>
      </c>
      <c r="B579" s="70" t="s">
        <v>359</v>
      </c>
      <c r="C579" s="72"/>
      <c r="D579" s="73"/>
      <c r="E579" s="70">
        <v>36.07</v>
      </c>
      <c r="F579" s="72">
        <v>27863.81</v>
      </c>
      <c r="G579" s="74">
        <f t="shared" ref="G579:G581" si="65">G578+F579</f>
        <v>7779660.2599999998</v>
      </c>
      <c r="H579" s="75" t="s">
        <v>13</v>
      </c>
      <c r="I579" s="391" t="s">
        <v>127</v>
      </c>
      <c r="J579" s="516" t="s">
        <v>738</v>
      </c>
      <c r="K579" s="416" t="s">
        <v>127</v>
      </c>
      <c r="L579" s="15"/>
      <c r="M579" t="str">
        <f t="shared" si="56"/>
        <v/>
      </c>
      <c r="N579" t="str">
        <f t="shared" si="52"/>
        <v/>
      </c>
    </row>
    <row r="580" spans="1:14" ht="15" thickBot="1">
      <c r="A580" s="69">
        <v>46248</v>
      </c>
      <c r="B580" s="70" t="s">
        <v>372</v>
      </c>
      <c r="C580" s="72"/>
      <c r="D580" s="73"/>
      <c r="E580" s="70">
        <v>33.68</v>
      </c>
      <c r="F580" s="72">
        <v>26021.360000000001</v>
      </c>
      <c r="G580" s="74">
        <f t="shared" si="65"/>
        <v>7805681.6200000001</v>
      </c>
      <c r="H580" s="75" t="s">
        <v>13</v>
      </c>
      <c r="I580" s="391" t="s">
        <v>127</v>
      </c>
      <c r="J580" s="516" t="s">
        <v>738</v>
      </c>
      <c r="K580" s="416" t="s">
        <v>127</v>
      </c>
      <c r="L580" s="15"/>
      <c r="M580" t="str">
        <f t="shared" si="56"/>
        <v/>
      </c>
      <c r="N580" t="str">
        <f t="shared" ref="N580:N643" si="66">IF(C580="","",IF(C580=D580,"OJOOO",""))</f>
        <v/>
      </c>
    </row>
    <row r="581" spans="1:14" ht="15" thickBot="1">
      <c r="A581" s="69">
        <v>46248</v>
      </c>
      <c r="B581" s="70" t="s">
        <v>373</v>
      </c>
      <c r="C581" s="72"/>
      <c r="D581" s="73"/>
      <c r="E581" s="70">
        <v>23.64</v>
      </c>
      <c r="F581" s="72">
        <v>18260.07</v>
      </c>
      <c r="G581" s="74">
        <f t="shared" si="65"/>
        <v>7823941.6900000004</v>
      </c>
      <c r="H581" s="75" t="s">
        <v>13</v>
      </c>
      <c r="I581" s="391" t="s">
        <v>127</v>
      </c>
      <c r="J581" s="516" t="s">
        <v>738</v>
      </c>
      <c r="K581" s="416" t="s">
        <v>127</v>
      </c>
      <c r="L581" s="15"/>
      <c r="M581" t="str">
        <f t="shared" si="56"/>
        <v/>
      </c>
      <c r="N581" t="str">
        <f t="shared" si="66"/>
        <v/>
      </c>
    </row>
    <row r="582" spans="1:14" ht="15" thickBot="1">
      <c r="A582" s="231">
        <v>46248</v>
      </c>
      <c r="B582" s="363" t="s">
        <v>309</v>
      </c>
      <c r="C582" s="24">
        <v>0.54</v>
      </c>
      <c r="D582" s="235">
        <v>417.95</v>
      </c>
      <c r="E582" s="234"/>
      <c r="F582" s="234"/>
      <c r="G582" s="153">
        <f>G581-D582</f>
        <v>7823523.7400000002</v>
      </c>
      <c r="H582" s="385" t="s">
        <v>25</v>
      </c>
      <c r="I582" s="393" t="s">
        <v>116</v>
      </c>
      <c r="J582" s="117" t="s">
        <v>117</v>
      </c>
      <c r="K582" s="15"/>
      <c r="L582" s="416" t="s">
        <v>437</v>
      </c>
      <c r="M582" t="str">
        <f t="shared" si="56"/>
        <v/>
      </c>
      <c r="N582" t="str">
        <f t="shared" si="66"/>
        <v/>
      </c>
    </row>
    <row r="583" spans="1:14" ht="15" thickBot="1">
      <c r="A583" s="231">
        <v>46248</v>
      </c>
      <c r="B583" s="363" t="s">
        <v>309</v>
      </c>
      <c r="C583" s="24">
        <v>0.51</v>
      </c>
      <c r="D583" s="235">
        <v>390.32</v>
      </c>
      <c r="E583" s="234"/>
      <c r="F583" s="234"/>
      <c r="G583" s="153">
        <f t="shared" ref="G583:G591" si="67">G582-D583</f>
        <v>7823133.4199999999</v>
      </c>
      <c r="H583" s="385" t="s">
        <v>25</v>
      </c>
      <c r="I583" s="393" t="s">
        <v>116</v>
      </c>
      <c r="J583" s="117" t="s">
        <v>117</v>
      </c>
      <c r="K583" s="15"/>
      <c r="L583" s="416" t="s">
        <v>437</v>
      </c>
      <c r="M583" t="str">
        <f t="shared" si="56"/>
        <v/>
      </c>
      <c r="N583" t="str">
        <f t="shared" si="66"/>
        <v/>
      </c>
    </row>
    <row r="584" spans="1:14" ht="15" thickBot="1">
      <c r="A584" s="231">
        <v>46248</v>
      </c>
      <c r="B584" s="363" t="s">
        <v>309</v>
      </c>
      <c r="C584" s="24">
        <v>0.35</v>
      </c>
      <c r="D584" s="235">
        <v>273.89999999999998</v>
      </c>
      <c r="E584" s="234"/>
      <c r="F584" s="234"/>
      <c r="G584" s="153">
        <f t="shared" si="67"/>
        <v>7822859.5199999996</v>
      </c>
      <c r="H584" s="385" t="s">
        <v>25</v>
      </c>
      <c r="I584" s="393" t="s">
        <v>116</v>
      </c>
      <c r="J584" s="117" t="s">
        <v>117</v>
      </c>
      <c r="K584" s="15"/>
      <c r="L584" s="416" t="s">
        <v>437</v>
      </c>
      <c r="M584" t="str">
        <f t="shared" si="56"/>
        <v/>
      </c>
      <c r="N584" t="str">
        <f t="shared" si="66"/>
        <v/>
      </c>
    </row>
    <row r="585" spans="1:14" ht="15" thickBot="1">
      <c r="A585" s="231">
        <v>46248</v>
      </c>
      <c r="B585" s="386" t="s">
        <v>374</v>
      </c>
      <c r="C585" s="24">
        <v>69.87</v>
      </c>
      <c r="D585" s="235">
        <v>53975</v>
      </c>
      <c r="E585" s="234"/>
      <c r="F585" s="234"/>
      <c r="G585" s="153">
        <f t="shared" si="67"/>
        <v>7768884.5199999996</v>
      </c>
      <c r="H585" s="385" t="s">
        <v>10</v>
      </c>
      <c r="I585" s="393" t="s">
        <v>119</v>
      </c>
      <c r="J585" s="416" t="s">
        <v>443</v>
      </c>
      <c r="K585" s="15"/>
      <c r="L585" s="416" t="s">
        <v>437</v>
      </c>
      <c r="M585" t="str">
        <f t="shared" si="56"/>
        <v/>
      </c>
      <c r="N585" t="str">
        <f t="shared" si="66"/>
        <v/>
      </c>
    </row>
    <row r="586" spans="1:14" ht="15" thickBot="1">
      <c r="A586" s="231">
        <v>46248</v>
      </c>
      <c r="B586" s="386" t="s">
        <v>31</v>
      </c>
      <c r="C586" s="24">
        <v>0.21</v>
      </c>
      <c r="D586" s="235">
        <v>161.91999999999999</v>
      </c>
      <c r="E586" s="234"/>
      <c r="F586" s="234"/>
      <c r="G586" s="153">
        <f t="shared" si="67"/>
        <v>7768722.5999999996</v>
      </c>
      <c r="H586" s="385" t="s">
        <v>25</v>
      </c>
      <c r="I586" s="393" t="s">
        <v>116</v>
      </c>
      <c r="J586" s="393" t="s">
        <v>117</v>
      </c>
      <c r="K586" s="15"/>
      <c r="L586" s="416" t="s">
        <v>437</v>
      </c>
      <c r="M586" t="str">
        <f t="shared" si="56"/>
        <v/>
      </c>
      <c r="N586" t="str">
        <f t="shared" si="66"/>
        <v/>
      </c>
    </row>
    <row r="587" spans="1:14" ht="15" thickBot="1">
      <c r="A587" s="231">
        <v>46248</v>
      </c>
      <c r="B587" s="386" t="s">
        <v>375</v>
      </c>
      <c r="C587" s="24">
        <v>1482.22</v>
      </c>
      <c r="D587" s="235">
        <v>1325827.81</v>
      </c>
      <c r="E587" s="234"/>
      <c r="F587" s="234"/>
      <c r="G587" s="153">
        <f t="shared" si="67"/>
        <v>6442894.7899999991</v>
      </c>
      <c r="H587" s="385" t="s">
        <v>10</v>
      </c>
      <c r="I587" s="393" t="s">
        <v>119</v>
      </c>
      <c r="J587" s="393" t="s">
        <v>121</v>
      </c>
      <c r="K587" s="15"/>
      <c r="L587" s="416" t="s">
        <v>437</v>
      </c>
      <c r="M587" t="str">
        <f t="shared" si="56"/>
        <v/>
      </c>
      <c r="N587" t="str">
        <f t="shared" si="66"/>
        <v/>
      </c>
    </row>
    <row r="588" spans="1:14" ht="15" thickBot="1">
      <c r="A588" s="231">
        <v>46248</v>
      </c>
      <c r="B588" s="386" t="s">
        <v>31</v>
      </c>
      <c r="C588" s="24">
        <v>4.45</v>
      </c>
      <c r="D588" s="235">
        <v>3977.48</v>
      </c>
      <c r="E588" s="234"/>
      <c r="F588" s="234"/>
      <c r="G588" s="153">
        <f t="shared" si="67"/>
        <v>6438917.3099999987</v>
      </c>
      <c r="H588" s="385" t="s">
        <v>25</v>
      </c>
      <c r="I588" s="393" t="s">
        <v>116</v>
      </c>
      <c r="J588" s="393" t="s">
        <v>117</v>
      </c>
      <c r="K588" s="15"/>
      <c r="L588" s="416" t="s">
        <v>437</v>
      </c>
      <c r="M588" t="str">
        <f t="shared" si="56"/>
        <v/>
      </c>
      <c r="N588" t="str">
        <f t="shared" si="66"/>
        <v/>
      </c>
    </row>
    <row r="589" spans="1:14" ht="15" thickBot="1">
      <c r="A589" s="231">
        <v>46248</v>
      </c>
      <c r="B589" s="386" t="s">
        <v>376</v>
      </c>
      <c r="C589" s="24">
        <v>1482.22</v>
      </c>
      <c r="D589" s="235">
        <v>1325827.81</v>
      </c>
      <c r="E589" s="234"/>
      <c r="F589" s="234"/>
      <c r="G589" s="153">
        <f t="shared" si="67"/>
        <v>5113089.4999999981</v>
      </c>
      <c r="H589" s="385" t="s">
        <v>10</v>
      </c>
      <c r="I589" s="393" t="s">
        <v>119</v>
      </c>
      <c r="J589" s="393" t="s">
        <v>121</v>
      </c>
      <c r="K589" s="15"/>
      <c r="L589" s="416" t="s">
        <v>437</v>
      </c>
      <c r="M589" t="str">
        <f t="shared" si="56"/>
        <v/>
      </c>
      <c r="N589" t="str">
        <f t="shared" si="66"/>
        <v/>
      </c>
    </row>
    <row r="590" spans="1:14" ht="15" thickBot="1">
      <c r="A590" s="231">
        <v>46248</v>
      </c>
      <c r="B590" s="386" t="s">
        <v>31</v>
      </c>
      <c r="C590" s="24">
        <v>4.45</v>
      </c>
      <c r="D590" s="235">
        <v>3977.48</v>
      </c>
      <c r="E590" s="234"/>
      <c r="F590" s="234"/>
      <c r="G590" s="153">
        <f t="shared" si="67"/>
        <v>5109112.0199999977</v>
      </c>
      <c r="H590" s="385" t="s">
        <v>25</v>
      </c>
      <c r="I590" s="393" t="s">
        <v>116</v>
      </c>
      <c r="J590" s="393" t="s">
        <v>117</v>
      </c>
      <c r="K590" s="15"/>
      <c r="L590" s="416" t="s">
        <v>437</v>
      </c>
      <c r="M590" t="str">
        <f t="shared" si="56"/>
        <v/>
      </c>
      <c r="N590" t="str">
        <f t="shared" si="66"/>
        <v/>
      </c>
    </row>
    <row r="591" spans="1:14" ht="15" thickBot="1">
      <c r="A591" s="231">
        <v>46248</v>
      </c>
      <c r="B591" s="386" t="s">
        <v>377</v>
      </c>
      <c r="C591" s="24">
        <v>15</v>
      </c>
      <c r="D591" s="235">
        <v>13416.64</v>
      </c>
      <c r="E591" s="234"/>
      <c r="F591" s="234"/>
      <c r="G591" s="153">
        <f t="shared" si="67"/>
        <v>5095695.379999998</v>
      </c>
      <c r="H591" s="385" t="s">
        <v>10</v>
      </c>
      <c r="I591" s="393" t="s">
        <v>116</v>
      </c>
      <c r="J591" s="393" t="s">
        <v>269</v>
      </c>
      <c r="K591" s="15"/>
      <c r="L591" s="416" t="s">
        <v>437</v>
      </c>
      <c r="M591" t="str">
        <f t="shared" si="56"/>
        <v/>
      </c>
      <c r="N591" t="str">
        <f t="shared" si="66"/>
        <v/>
      </c>
    </row>
    <row r="592" spans="1:14" ht="15" thickBot="1">
      <c r="A592" s="69">
        <v>46249</v>
      </c>
      <c r="B592" s="70" t="s">
        <v>378</v>
      </c>
      <c r="C592" s="72"/>
      <c r="D592" s="73"/>
      <c r="E592" s="70">
        <v>55.38</v>
      </c>
      <c r="F592" s="72">
        <v>49618.14</v>
      </c>
      <c r="G592" s="74">
        <f>G591+F592</f>
        <v>5145313.5199999977</v>
      </c>
      <c r="H592" s="75" t="s">
        <v>13</v>
      </c>
      <c r="I592" s="391" t="s">
        <v>127</v>
      </c>
      <c r="J592" s="516" t="s">
        <v>738</v>
      </c>
      <c r="K592" s="416" t="s">
        <v>127</v>
      </c>
      <c r="L592" s="15"/>
      <c r="M592" t="str">
        <f t="shared" si="56"/>
        <v/>
      </c>
      <c r="N592" t="str">
        <f t="shared" si="66"/>
        <v/>
      </c>
    </row>
    <row r="593" spans="1:14" ht="15" thickBot="1">
      <c r="A593" s="69">
        <v>46249</v>
      </c>
      <c r="B593" s="70" t="s">
        <v>366</v>
      </c>
      <c r="C593" s="72"/>
      <c r="D593" s="73"/>
      <c r="E593" s="70">
        <v>35.020000000000003</v>
      </c>
      <c r="F593" s="72">
        <v>31379.85</v>
      </c>
      <c r="G593" s="74">
        <f>G592+F593</f>
        <v>5176693.3699999973</v>
      </c>
      <c r="H593" s="75" t="s">
        <v>13</v>
      </c>
      <c r="I593" s="391" t="s">
        <v>127</v>
      </c>
      <c r="J593" s="516" t="s">
        <v>738</v>
      </c>
      <c r="K593" s="416" t="s">
        <v>127</v>
      </c>
      <c r="L593" s="15"/>
      <c r="M593" t="str">
        <f t="shared" si="56"/>
        <v/>
      </c>
      <c r="N593" t="str">
        <f t="shared" si="66"/>
        <v/>
      </c>
    </row>
    <row r="594" spans="1:14" ht="15" thickBot="1">
      <c r="A594" s="231">
        <v>46249</v>
      </c>
      <c r="B594" s="363" t="s">
        <v>309</v>
      </c>
      <c r="C594" s="24">
        <v>0.83</v>
      </c>
      <c r="D594" s="235">
        <v>744.27</v>
      </c>
      <c r="E594" s="234"/>
      <c r="F594" s="234"/>
      <c r="G594" s="153">
        <f>G593-D594</f>
        <v>5175949.0999999978</v>
      </c>
      <c r="H594" s="388" t="s">
        <v>25</v>
      </c>
      <c r="I594" s="393" t="s">
        <v>116</v>
      </c>
      <c r="J594" s="393" t="s">
        <v>117</v>
      </c>
      <c r="K594" s="15"/>
      <c r="L594" s="416" t="s">
        <v>437</v>
      </c>
      <c r="M594" t="str">
        <f t="shared" si="56"/>
        <v/>
      </c>
      <c r="N594" t="str">
        <f t="shared" si="66"/>
        <v/>
      </c>
    </row>
    <row r="595" spans="1:14" ht="15" thickBot="1">
      <c r="A595" s="231">
        <v>46249</v>
      </c>
      <c r="B595" s="363" t="s">
        <v>309</v>
      </c>
      <c r="C595" s="24">
        <v>0.53</v>
      </c>
      <c r="D595" s="235">
        <v>470.69</v>
      </c>
      <c r="E595" s="234"/>
      <c r="F595" s="234"/>
      <c r="G595" s="153">
        <f>G594-D595</f>
        <v>5175478.4099999974</v>
      </c>
      <c r="H595" s="388" t="s">
        <v>25</v>
      </c>
      <c r="I595" s="393" t="s">
        <v>116</v>
      </c>
      <c r="J595" s="393" t="s">
        <v>117</v>
      </c>
      <c r="K595" s="15"/>
      <c r="L595" s="416" t="s">
        <v>437</v>
      </c>
      <c r="M595" t="str">
        <f t="shared" si="56"/>
        <v/>
      </c>
      <c r="N595" t="str">
        <f t="shared" si="66"/>
        <v/>
      </c>
    </row>
    <row r="596" spans="1:14" ht="29.5" thickBot="1">
      <c r="A596" s="231">
        <v>46249</v>
      </c>
      <c r="B596" s="390" t="s">
        <v>379</v>
      </c>
      <c r="C596" s="24">
        <v>118.12</v>
      </c>
      <c r="D596" s="235">
        <v>105837.98</v>
      </c>
      <c r="E596" s="234"/>
      <c r="F596" s="234"/>
      <c r="G596" s="153">
        <f>G595-D596</f>
        <v>5069640.4299999969</v>
      </c>
      <c r="H596" s="388" t="s">
        <v>13</v>
      </c>
      <c r="I596" s="393" t="s">
        <v>119</v>
      </c>
      <c r="J596" s="393" t="s">
        <v>391</v>
      </c>
      <c r="K596" s="15"/>
      <c r="L596" s="416" t="s">
        <v>437</v>
      </c>
      <c r="M596" t="str">
        <f t="shared" ref="M596:M659" si="68">IF(E596="","",IF(E596=F596,"OJOOO",""))</f>
        <v/>
      </c>
      <c r="N596" t="str">
        <f t="shared" si="66"/>
        <v/>
      </c>
    </row>
    <row r="597" spans="1:14" ht="29.5" thickBot="1">
      <c r="A597" s="231">
        <v>46249</v>
      </c>
      <c r="B597" s="390" t="s">
        <v>380</v>
      </c>
      <c r="C597" s="24">
        <v>98.29</v>
      </c>
      <c r="D597" s="235">
        <v>88070.03</v>
      </c>
      <c r="E597" s="234"/>
      <c r="F597" s="234"/>
      <c r="G597" s="153">
        <f>G596-D597</f>
        <v>4981570.3999999966</v>
      </c>
      <c r="H597" s="388" t="s">
        <v>13</v>
      </c>
      <c r="I597" s="393" t="s">
        <v>116</v>
      </c>
      <c r="J597" s="393" t="s">
        <v>391</v>
      </c>
      <c r="K597" s="15"/>
      <c r="L597" s="416" t="s">
        <v>437</v>
      </c>
      <c r="M597" t="str">
        <f t="shared" si="68"/>
        <v/>
      </c>
      <c r="N597" t="str">
        <f t="shared" si="66"/>
        <v/>
      </c>
    </row>
    <row r="598" spans="1:14" ht="15" thickBot="1">
      <c r="A598" s="69">
        <v>46251</v>
      </c>
      <c r="B598" s="70" t="s">
        <v>381</v>
      </c>
      <c r="C598" s="72"/>
      <c r="D598" s="73"/>
      <c r="E598" s="70">
        <v>58.7</v>
      </c>
      <c r="F598" s="72">
        <v>52596.02</v>
      </c>
      <c r="G598" s="74">
        <f>G597+F598</f>
        <v>5034166.4199999962</v>
      </c>
      <c r="H598" s="75" t="s">
        <v>13</v>
      </c>
      <c r="I598" s="391" t="s">
        <v>127</v>
      </c>
      <c r="J598" s="516" t="s">
        <v>738</v>
      </c>
      <c r="K598" s="416" t="s">
        <v>127</v>
      </c>
      <c r="L598" s="15"/>
      <c r="M598" t="str">
        <f t="shared" si="68"/>
        <v/>
      </c>
      <c r="N598" t="str">
        <f t="shared" si="66"/>
        <v/>
      </c>
    </row>
    <row r="599" spans="1:14" ht="15" thickBot="1">
      <c r="A599" s="69">
        <v>46251</v>
      </c>
      <c r="B599" s="70" t="s">
        <v>372</v>
      </c>
      <c r="C599" s="72"/>
      <c r="D599" s="73"/>
      <c r="E599" s="70">
        <v>14.67</v>
      </c>
      <c r="F599" s="72">
        <v>13149.01</v>
      </c>
      <c r="G599" s="74">
        <f t="shared" ref="G599:G601" si="69">G598+F599</f>
        <v>5047315.429999996</v>
      </c>
      <c r="H599" s="75" t="s">
        <v>13</v>
      </c>
      <c r="I599" s="391" t="s">
        <v>127</v>
      </c>
      <c r="J599" s="516" t="s">
        <v>738</v>
      </c>
      <c r="K599" s="416" t="s">
        <v>127</v>
      </c>
      <c r="L599" s="15"/>
      <c r="M599" t="str">
        <f t="shared" si="68"/>
        <v/>
      </c>
      <c r="N599" t="str">
        <f t="shared" si="66"/>
        <v/>
      </c>
    </row>
    <row r="600" spans="1:14" ht="15" thickBot="1">
      <c r="A600" s="69">
        <v>46251</v>
      </c>
      <c r="B600" s="70" t="s">
        <v>382</v>
      </c>
      <c r="C600" s="72"/>
      <c r="D600" s="73"/>
      <c r="E600" s="70">
        <v>8.8000000000000007</v>
      </c>
      <c r="F600" s="72">
        <v>7889.41</v>
      </c>
      <c r="G600" s="74">
        <f t="shared" si="69"/>
        <v>5055204.8399999961</v>
      </c>
      <c r="H600" s="75" t="s">
        <v>13</v>
      </c>
      <c r="I600" s="391" t="s">
        <v>127</v>
      </c>
      <c r="J600" s="516" t="s">
        <v>738</v>
      </c>
      <c r="K600" s="416" t="s">
        <v>127</v>
      </c>
      <c r="L600" s="15"/>
      <c r="M600" t="str">
        <f t="shared" si="68"/>
        <v/>
      </c>
      <c r="N600" t="str">
        <f t="shared" si="66"/>
        <v/>
      </c>
    </row>
    <row r="601" spans="1:14" ht="15" thickBot="1">
      <c r="A601" s="69">
        <v>46251</v>
      </c>
      <c r="B601" s="70" t="s">
        <v>378</v>
      </c>
      <c r="C601" s="72"/>
      <c r="D601" s="73"/>
      <c r="E601" s="70">
        <v>2.93</v>
      </c>
      <c r="F601" s="72">
        <v>2629.81</v>
      </c>
      <c r="G601" s="74">
        <f t="shared" si="69"/>
        <v>5057834.6499999957</v>
      </c>
      <c r="H601" s="75" t="s">
        <v>13</v>
      </c>
      <c r="I601" s="391" t="s">
        <v>127</v>
      </c>
      <c r="J601" s="516" t="s">
        <v>738</v>
      </c>
      <c r="K601" s="416" t="s">
        <v>127</v>
      </c>
      <c r="L601" s="15"/>
      <c r="M601" t="str">
        <f t="shared" si="68"/>
        <v/>
      </c>
      <c r="N601" t="str">
        <f t="shared" si="66"/>
        <v/>
      </c>
    </row>
    <row r="602" spans="1:14" ht="15" thickBot="1">
      <c r="A602" s="231">
        <v>46251</v>
      </c>
      <c r="B602" s="363" t="s">
        <v>309</v>
      </c>
      <c r="C602" s="24">
        <v>0.88</v>
      </c>
      <c r="D602" s="235">
        <v>788.94</v>
      </c>
      <c r="E602" s="234"/>
      <c r="F602" s="234"/>
      <c r="G602" s="153">
        <f>G601-D602</f>
        <v>5057045.7099999953</v>
      </c>
      <c r="H602" s="388" t="s">
        <v>25</v>
      </c>
      <c r="I602" s="393" t="s">
        <v>116</v>
      </c>
      <c r="J602" s="393" t="s">
        <v>117</v>
      </c>
      <c r="K602" s="15"/>
      <c r="L602" s="416" t="s">
        <v>437</v>
      </c>
      <c r="M602" t="str">
        <f t="shared" si="68"/>
        <v/>
      </c>
      <c r="N602" t="str">
        <f t="shared" si="66"/>
        <v/>
      </c>
    </row>
    <row r="603" spans="1:14" ht="15" thickBot="1">
      <c r="A603" s="231">
        <v>46251</v>
      </c>
      <c r="B603" s="363" t="s">
        <v>309</v>
      </c>
      <c r="C603" s="24">
        <v>0.22</v>
      </c>
      <c r="D603" s="235">
        <v>197.23</v>
      </c>
      <c r="E603" s="234"/>
      <c r="F603" s="234"/>
      <c r="G603" s="153">
        <f t="shared" ref="G603:G614" si="70">G602-D603</f>
        <v>5056848.4799999949</v>
      </c>
      <c r="H603" s="388" t="s">
        <v>25</v>
      </c>
      <c r="I603" s="393" t="s">
        <v>116</v>
      </c>
      <c r="J603" s="393" t="s">
        <v>117</v>
      </c>
      <c r="K603" s="15"/>
      <c r="L603" s="416" t="s">
        <v>437</v>
      </c>
      <c r="M603" t="str">
        <f t="shared" si="68"/>
        <v/>
      </c>
      <c r="N603" t="str">
        <f t="shared" si="66"/>
        <v/>
      </c>
    </row>
    <row r="604" spans="1:14" ht="15" thickBot="1">
      <c r="A604" s="231">
        <v>46251</v>
      </c>
      <c r="B604" s="363" t="s">
        <v>309</v>
      </c>
      <c r="C604" s="24">
        <v>0.13</v>
      </c>
      <c r="D604" s="235">
        <v>118.34</v>
      </c>
      <c r="E604" s="234"/>
      <c r="F604" s="234"/>
      <c r="G604" s="153">
        <f t="shared" si="70"/>
        <v>5056730.139999995</v>
      </c>
      <c r="H604" s="388" t="s">
        <v>25</v>
      </c>
      <c r="I604" s="393" t="s">
        <v>116</v>
      </c>
      <c r="J604" s="393" t="s">
        <v>117</v>
      </c>
      <c r="K604" s="15"/>
      <c r="L604" s="416" t="s">
        <v>437</v>
      </c>
      <c r="M604" t="str">
        <f t="shared" si="68"/>
        <v/>
      </c>
      <c r="N604" t="str">
        <f t="shared" si="66"/>
        <v/>
      </c>
    </row>
    <row r="605" spans="1:14" ht="15" thickBot="1">
      <c r="A605" s="231">
        <v>46251</v>
      </c>
      <c r="B605" s="363" t="s">
        <v>309</v>
      </c>
      <c r="C605" s="24">
        <v>0.04</v>
      </c>
      <c r="D605" s="235">
        <v>39.44</v>
      </c>
      <c r="E605" s="234"/>
      <c r="F605" s="234"/>
      <c r="G605" s="153">
        <f t="shared" si="70"/>
        <v>5056690.6999999946</v>
      </c>
      <c r="H605" s="388" t="s">
        <v>25</v>
      </c>
      <c r="I605" s="393" t="s">
        <v>116</v>
      </c>
      <c r="J605" s="393" t="s">
        <v>117</v>
      </c>
      <c r="K605" s="15"/>
      <c r="L605" s="416" t="s">
        <v>437</v>
      </c>
      <c r="M605" t="str">
        <f t="shared" si="68"/>
        <v/>
      </c>
      <c r="N605" t="str">
        <f t="shared" si="66"/>
        <v/>
      </c>
    </row>
    <row r="606" spans="1:14" ht="15" thickBot="1">
      <c r="A606" s="231">
        <v>46251</v>
      </c>
      <c r="B606" s="389" t="s">
        <v>383</v>
      </c>
      <c r="C606" s="24">
        <v>20.04</v>
      </c>
      <c r="D606" s="235">
        <v>17953.830000000002</v>
      </c>
      <c r="E606" s="234"/>
      <c r="F606" s="234"/>
      <c r="G606" s="153">
        <f t="shared" si="70"/>
        <v>5038736.8699999945</v>
      </c>
      <c r="H606" s="388" t="s">
        <v>13</v>
      </c>
      <c r="I606" s="393" t="s">
        <v>116</v>
      </c>
      <c r="J606" s="393" t="s">
        <v>117</v>
      </c>
      <c r="K606" s="15"/>
      <c r="L606" s="416" t="s">
        <v>437</v>
      </c>
      <c r="M606" t="str">
        <f t="shared" si="68"/>
        <v/>
      </c>
      <c r="N606" t="str">
        <f t="shared" si="66"/>
        <v/>
      </c>
    </row>
    <row r="607" spans="1:14" ht="29.5" thickBot="1">
      <c r="A607" s="231">
        <v>46251</v>
      </c>
      <c r="B607" s="390" t="s">
        <v>394</v>
      </c>
      <c r="C607" s="24">
        <v>34.49</v>
      </c>
      <c r="D607" s="235">
        <v>30901.759999999998</v>
      </c>
      <c r="E607" s="234"/>
      <c r="F607" s="234"/>
      <c r="G607" s="153">
        <f t="shared" si="70"/>
        <v>5007835.1099999947</v>
      </c>
      <c r="H607" s="388" t="s">
        <v>10</v>
      </c>
      <c r="I607" s="393" t="s">
        <v>119</v>
      </c>
      <c r="J607" s="416" t="s">
        <v>448</v>
      </c>
      <c r="K607" s="15"/>
      <c r="L607" s="416" t="s">
        <v>437</v>
      </c>
      <c r="M607" t="str">
        <f t="shared" si="68"/>
        <v/>
      </c>
      <c r="N607" t="str">
        <f t="shared" si="66"/>
        <v/>
      </c>
    </row>
    <row r="608" spans="1:14" ht="15" thickBot="1">
      <c r="A608" s="231">
        <v>46251</v>
      </c>
      <c r="B608" s="389" t="s">
        <v>31</v>
      </c>
      <c r="C608" s="24">
        <v>0.1</v>
      </c>
      <c r="D608" s="235">
        <v>92.7</v>
      </c>
      <c r="E608" s="234"/>
      <c r="F608" s="234"/>
      <c r="G608" s="153">
        <f t="shared" si="70"/>
        <v>5007742.4099999946</v>
      </c>
      <c r="H608" s="388" t="s">
        <v>25</v>
      </c>
      <c r="I608" s="393" t="s">
        <v>116</v>
      </c>
      <c r="J608" s="393" t="s">
        <v>117</v>
      </c>
      <c r="K608" s="15"/>
      <c r="L608" s="416" t="s">
        <v>437</v>
      </c>
      <c r="M608" t="str">
        <f t="shared" si="68"/>
        <v/>
      </c>
      <c r="N608" t="str">
        <f t="shared" si="66"/>
        <v/>
      </c>
    </row>
    <row r="609" spans="1:14" ht="15" thickBot="1">
      <c r="A609" s="231">
        <v>46251</v>
      </c>
      <c r="B609" s="389" t="s">
        <v>384</v>
      </c>
      <c r="C609" s="24">
        <v>1724.37</v>
      </c>
      <c r="D609" s="235">
        <v>1545088.2</v>
      </c>
      <c r="E609" s="234"/>
      <c r="F609" s="234"/>
      <c r="G609" s="153">
        <f t="shared" si="70"/>
        <v>3462654.2099999944</v>
      </c>
      <c r="H609" s="388" t="s">
        <v>10</v>
      </c>
      <c r="I609" s="393" t="s">
        <v>119</v>
      </c>
      <c r="J609" s="416" t="s">
        <v>446</v>
      </c>
      <c r="K609" s="15"/>
      <c r="L609" s="416" t="s">
        <v>437</v>
      </c>
      <c r="M609" t="str">
        <f t="shared" si="68"/>
        <v/>
      </c>
      <c r="N609" t="str">
        <f t="shared" si="66"/>
        <v/>
      </c>
    </row>
    <row r="610" spans="1:14" ht="15" thickBot="1">
      <c r="A610" s="231">
        <v>46251</v>
      </c>
      <c r="B610" s="389" t="s">
        <v>31</v>
      </c>
      <c r="C610" s="24">
        <v>5.17</v>
      </c>
      <c r="D610" s="235">
        <v>4635.26</v>
      </c>
      <c r="E610" s="234"/>
      <c r="F610" s="234"/>
      <c r="G610" s="153">
        <f t="shared" si="70"/>
        <v>3458018.9499999946</v>
      </c>
      <c r="H610" s="388" t="s">
        <v>25</v>
      </c>
      <c r="I610" s="393" t="s">
        <v>116</v>
      </c>
      <c r="J610" s="393" t="s">
        <v>117</v>
      </c>
      <c r="K610" s="15"/>
      <c r="L610" s="416" t="s">
        <v>437</v>
      </c>
      <c r="M610" t="str">
        <f t="shared" si="68"/>
        <v/>
      </c>
      <c r="N610" t="str">
        <f t="shared" si="66"/>
        <v/>
      </c>
    </row>
    <row r="611" spans="1:14" ht="15" thickBot="1">
      <c r="A611" s="231">
        <v>46251</v>
      </c>
      <c r="B611" s="389" t="s">
        <v>385</v>
      </c>
      <c r="C611" s="24">
        <v>431.09</v>
      </c>
      <c r="D611" s="235">
        <v>386272.05</v>
      </c>
      <c r="E611" s="234"/>
      <c r="F611" s="234"/>
      <c r="G611" s="153">
        <f t="shared" si="70"/>
        <v>3071746.8999999948</v>
      </c>
      <c r="H611" s="388" t="s">
        <v>10</v>
      </c>
      <c r="I611" s="393" t="s">
        <v>119</v>
      </c>
      <c r="J611" s="416" t="s">
        <v>446</v>
      </c>
      <c r="K611" s="15"/>
      <c r="L611" s="416" t="s">
        <v>437</v>
      </c>
      <c r="M611" t="str">
        <f t="shared" si="68"/>
        <v/>
      </c>
      <c r="N611" t="str">
        <f t="shared" si="66"/>
        <v/>
      </c>
    </row>
    <row r="612" spans="1:14" ht="15" thickBot="1">
      <c r="A612" s="231">
        <v>46251</v>
      </c>
      <c r="B612" s="389" t="s">
        <v>31</v>
      </c>
      <c r="C612" s="24">
        <v>1.29</v>
      </c>
      <c r="D612" s="235">
        <v>1158.81</v>
      </c>
      <c r="E612" s="234"/>
      <c r="F612" s="234"/>
      <c r="G612" s="153">
        <f t="shared" si="70"/>
        <v>3070588.0899999947</v>
      </c>
      <c r="H612" s="388" t="s">
        <v>25</v>
      </c>
      <c r="I612" s="393" t="s">
        <v>116</v>
      </c>
      <c r="J612" s="393" t="s">
        <v>117</v>
      </c>
      <c r="K612" s="15"/>
      <c r="L612" s="416" t="s">
        <v>437</v>
      </c>
      <c r="M612" t="str">
        <f t="shared" si="68"/>
        <v/>
      </c>
      <c r="N612" t="str">
        <f t="shared" si="66"/>
        <v/>
      </c>
    </row>
    <row r="613" spans="1:14" ht="15" thickBot="1">
      <c r="A613" s="231">
        <v>46251</v>
      </c>
      <c r="B613" s="389" t="s">
        <v>386</v>
      </c>
      <c r="C613" s="24">
        <v>43.11</v>
      </c>
      <c r="D613" s="235">
        <v>38627.199999999997</v>
      </c>
      <c r="E613" s="234"/>
      <c r="F613" s="234"/>
      <c r="G613" s="153">
        <f t="shared" si="70"/>
        <v>3031960.8899999945</v>
      </c>
      <c r="H613" s="388" t="s">
        <v>10</v>
      </c>
      <c r="I613" s="393" t="s">
        <v>119</v>
      </c>
      <c r="J613" s="393" t="s">
        <v>121</v>
      </c>
      <c r="K613" s="15"/>
      <c r="L613" s="416" t="s">
        <v>437</v>
      </c>
      <c r="M613" t="str">
        <f t="shared" si="68"/>
        <v/>
      </c>
      <c r="N613" t="str">
        <f t="shared" si="66"/>
        <v/>
      </c>
    </row>
    <row r="614" spans="1:14" ht="15" thickBot="1">
      <c r="A614" s="231">
        <v>46251</v>
      </c>
      <c r="B614" s="389" t="s">
        <v>31</v>
      </c>
      <c r="C614" s="24">
        <v>0.13</v>
      </c>
      <c r="D614" s="235">
        <v>115.88</v>
      </c>
      <c r="E614" s="234"/>
      <c r="F614" s="234"/>
      <c r="G614" s="153">
        <f t="shared" si="70"/>
        <v>3031845.0099999947</v>
      </c>
      <c r="H614" s="388" t="s">
        <v>25</v>
      </c>
      <c r="I614" s="393" t="s">
        <v>116</v>
      </c>
      <c r="J614" s="393" t="s">
        <v>117</v>
      </c>
      <c r="K614" s="15"/>
      <c r="L614" s="416" t="s">
        <v>437</v>
      </c>
      <c r="M614" t="str">
        <f t="shared" si="68"/>
        <v/>
      </c>
      <c r="N614" t="str">
        <f t="shared" si="66"/>
        <v/>
      </c>
    </row>
    <row r="615" spans="1:14" ht="29.5" thickBot="1">
      <c r="A615" s="69">
        <v>46251</v>
      </c>
      <c r="B615" s="378" t="s">
        <v>387</v>
      </c>
      <c r="C615" s="72"/>
      <c r="D615" s="73"/>
      <c r="E615" s="70">
        <v>18.149999999999999</v>
      </c>
      <c r="F615" s="72">
        <v>16260</v>
      </c>
      <c r="G615" s="74">
        <f>G614+F615</f>
        <v>3048105.0099999947</v>
      </c>
      <c r="H615" s="75" t="s">
        <v>388</v>
      </c>
      <c r="I615" s="393" t="s">
        <v>127</v>
      </c>
      <c r="J615" s="519" t="s">
        <v>738</v>
      </c>
      <c r="K615" s="416" t="s">
        <v>127</v>
      </c>
      <c r="L615" s="15"/>
      <c r="M615" t="str">
        <f t="shared" si="68"/>
        <v/>
      </c>
      <c r="N615" t="str">
        <f t="shared" si="66"/>
        <v/>
      </c>
    </row>
    <row r="616" spans="1:14" ht="29.5" thickBot="1">
      <c r="A616" s="231">
        <v>46251</v>
      </c>
      <c r="B616" s="390" t="s">
        <v>389</v>
      </c>
      <c r="C616" s="24">
        <v>20</v>
      </c>
      <c r="D616" s="235">
        <v>17922.93</v>
      </c>
      <c r="E616" s="234"/>
      <c r="F616" s="234"/>
      <c r="G616" s="153">
        <f>G615-D616</f>
        <v>3030182.0799999945</v>
      </c>
      <c r="H616" s="388" t="s">
        <v>10</v>
      </c>
      <c r="I616" s="393" t="s">
        <v>119</v>
      </c>
      <c r="J616" s="416" t="s">
        <v>443</v>
      </c>
      <c r="K616" s="15"/>
      <c r="L616" s="416" t="s">
        <v>437</v>
      </c>
      <c r="M616" t="str">
        <f t="shared" si="68"/>
        <v/>
      </c>
      <c r="N616" t="str">
        <f t="shared" si="66"/>
        <v/>
      </c>
    </row>
    <row r="617" spans="1:14" ht="15" thickBot="1">
      <c r="A617" s="69">
        <v>46252</v>
      </c>
      <c r="B617" s="70" t="s">
        <v>352</v>
      </c>
      <c r="C617" s="72"/>
      <c r="D617" s="73"/>
      <c r="E617" s="381">
        <v>5469.21</v>
      </c>
      <c r="F617" s="72">
        <v>4900569.3899999997</v>
      </c>
      <c r="G617" s="74">
        <f>G616+F617</f>
        <v>7930751.4699999942</v>
      </c>
      <c r="H617" s="75" t="s">
        <v>10</v>
      </c>
      <c r="I617" s="412" t="s">
        <v>127</v>
      </c>
      <c r="J617" s="519" t="s">
        <v>737</v>
      </c>
      <c r="K617" s="412" t="s">
        <v>127</v>
      </c>
      <c r="L617" s="15"/>
      <c r="M617" t="str">
        <f t="shared" si="68"/>
        <v/>
      </c>
      <c r="N617" t="str">
        <f t="shared" si="66"/>
        <v/>
      </c>
    </row>
    <row r="618" spans="1:14" ht="15" thickBot="1">
      <c r="A618" s="69">
        <v>46252</v>
      </c>
      <c r="B618" s="70" t="s">
        <v>395</v>
      </c>
      <c r="C618" s="72"/>
      <c r="D618" s="73"/>
      <c r="E618" s="70">
        <v>49.32</v>
      </c>
      <c r="F618" s="72">
        <v>44195.08</v>
      </c>
      <c r="G618" s="74">
        <f t="shared" ref="G618:G620" si="71">G617+F618</f>
        <v>7974946.5499999942</v>
      </c>
      <c r="H618" s="75" t="s">
        <v>13</v>
      </c>
      <c r="I618" s="412" t="s">
        <v>127</v>
      </c>
      <c r="J618" s="516" t="s">
        <v>738</v>
      </c>
      <c r="K618" s="412" t="s">
        <v>127</v>
      </c>
      <c r="L618" s="15"/>
      <c r="M618" t="str">
        <f t="shared" si="68"/>
        <v/>
      </c>
      <c r="N618" t="str">
        <f t="shared" si="66"/>
        <v/>
      </c>
    </row>
    <row r="619" spans="1:14" ht="15" thickBot="1">
      <c r="A619" s="69">
        <v>46252</v>
      </c>
      <c r="B619" s="70" t="s">
        <v>396</v>
      </c>
      <c r="C619" s="72"/>
      <c r="D619" s="73"/>
      <c r="E619" s="70">
        <v>23.48</v>
      </c>
      <c r="F619" s="72">
        <v>21038.41</v>
      </c>
      <c r="G619" s="74">
        <f t="shared" si="71"/>
        <v>7995984.9599999944</v>
      </c>
      <c r="H619" s="75" t="s">
        <v>13</v>
      </c>
      <c r="I619" s="412" t="s">
        <v>127</v>
      </c>
      <c r="J619" s="516" t="s">
        <v>738</v>
      </c>
      <c r="K619" s="412" t="s">
        <v>127</v>
      </c>
      <c r="L619" s="15"/>
      <c r="M619" t="str">
        <f t="shared" si="68"/>
        <v/>
      </c>
      <c r="N619" t="str">
        <f t="shared" si="66"/>
        <v/>
      </c>
    </row>
    <row r="620" spans="1:14" ht="15" thickBot="1">
      <c r="A620" s="69">
        <v>46252</v>
      </c>
      <c r="B620" s="70" t="s">
        <v>381</v>
      </c>
      <c r="C620" s="72"/>
      <c r="D620" s="73"/>
      <c r="E620" s="70">
        <v>17.61</v>
      </c>
      <c r="F620" s="72">
        <v>15778.81</v>
      </c>
      <c r="G620" s="74">
        <f t="shared" si="71"/>
        <v>8011763.769999994</v>
      </c>
      <c r="H620" s="75" t="s">
        <v>13</v>
      </c>
      <c r="I620" s="412" t="s">
        <v>127</v>
      </c>
      <c r="J620" s="516" t="s">
        <v>738</v>
      </c>
      <c r="K620" s="412" t="s">
        <v>127</v>
      </c>
      <c r="L620" s="15"/>
      <c r="M620" t="str">
        <f t="shared" si="68"/>
        <v/>
      </c>
      <c r="N620" t="str">
        <f t="shared" si="66"/>
        <v/>
      </c>
    </row>
    <row r="621" spans="1:14" ht="15" thickBot="1">
      <c r="A621" s="231">
        <v>46252</v>
      </c>
      <c r="B621" s="363" t="s">
        <v>309</v>
      </c>
      <c r="C621" s="24">
        <v>0.74</v>
      </c>
      <c r="D621" s="235">
        <v>662.92</v>
      </c>
      <c r="E621" s="234"/>
      <c r="F621" s="234"/>
      <c r="G621" s="153">
        <f>G620-D621</f>
        <v>8011100.849999994</v>
      </c>
      <c r="H621" s="397" t="s">
        <v>25</v>
      </c>
      <c r="I621" s="393" t="s">
        <v>116</v>
      </c>
      <c r="J621" s="393" t="s">
        <v>117</v>
      </c>
      <c r="K621" s="15"/>
      <c r="L621" s="412" t="s">
        <v>437</v>
      </c>
      <c r="M621" t="str">
        <f t="shared" si="68"/>
        <v/>
      </c>
      <c r="N621" t="str">
        <f t="shared" si="66"/>
        <v/>
      </c>
    </row>
    <row r="622" spans="1:14" ht="15" thickBot="1">
      <c r="A622" s="231">
        <v>46252</v>
      </c>
      <c r="B622" s="363" t="s">
        <v>309</v>
      </c>
      <c r="C622" s="24">
        <v>0.35</v>
      </c>
      <c r="D622" s="235">
        <v>315.57</v>
      </c>
      <c r="E622" s="234"/>
      <c r="F622" s="234"/>
      <c r="G622" s="153">
        <f t="shared" ref="G622:G629" si="72">G621-D622</f>
        <v>8010785.2799999937</v>
      </c>
      <c r="H622" s="397" t="s">
        <v>25</v>
      </c>
      <c r="I622" s="393" t="s">
        <v>116</v>
      </c>
      <c r="J622" s="393" t="s">
        <v>117</v>
      </c>
      <c r="K622" s="15"/>
      <c r="L622" s="412" t="s">
        <v>437</v>
      </c>
      <c r="M622" t="str">
        <f t="shared" si="68"/>
        <v/>
      </c>
      <c r="N622" t="str">
        <f t="shared" si="66"/>
        <v/>
      </c>
    </row>
    <row r="623" spans="1:14" ht="15" thickBot="1">
      <c r="A623" s="231">
        <v>46252</v>
      </c>
      <c r="B623" s="363" t="s">
        <v>309</v>
      </c>
      <c r="C623" s="24">
        <v>0.26</v>
      </c>
      <c r="D623" s="235">
        <v>236.68</v>
      </c>
      <c r="E623" s="234"/>
      <c r="F623" s="234"/>
      <c r="G623" s="153">
        <f t="shared" si="72"/>
        <v>8010548.599999994</v>
      </c>
      <c r="H623" s="397" t="s">
        <v>25</v>
      </c>
      <c r="I623" s="393" t="s">
        <v>116</v>
      </c>
      <c r="J623" s="393" t="s">
        <v>117</v>
      </c>
      <c r="K623" s="15"/>
      <c r="L623" s="412" t="s">
        <v>437</v>
      </c>
      <c r="M623" t="str">
        <f t="shared" si="68"/>
        <v/>
      </c>
      <c r="N623" t="str">
        <f t="shared" si="66"/>
        <v/>
      </c>
    </row>
    <row r="624" spans="1:14" ht="15" thickBot="1">
      <c r="A624" s="231">
        <v>46252</v>
      </c>
      <c r="B624" s="396" t="s">
        <v>397</v>
      </c>
      <c r="C624" s="24">
        <v>431.52</v>
      </c>
      <c r="D624" s="235">
        <v>386656.25</v>
      </c>
      <c r="E624" s="234"/>
      <c r="F624" s="234"/>
      <c r="G624" s="153">
        <f t="shared" si="72"/>
        <v>7623892.349999994</v>
      </c>
      <c r="H624" s="397" t="s">
        <v>10</v>
      </c>
      <c r="I624" s="393" t="s">
        <v>119</v>
      </c>
      <c r="J624" s="416" t="s">
        <v>447</v>
      </c>
      <c r="K624" s="15"/>
      <c r="L624" s="412" t="s">
        <v>437</v>
      </c>
      <c r="M624" t="str">
        <f t="shared" si="68"/>
        <v/>
      </c>
      <c r="N624" t="str">
        <f t="shared" si="66"/>
        <v/>
      </c>
    </row>
    <row r="625" spans="1:14" ht="15" thickBot="1">
      <c r="A625" s="231">
        <v>46252</v>
      </c>
      <c r="B625" s="389" t="s">
        <v>31</v>
      </c>
      <c r="C625" s="24">
        <v>1.29</v>
      </c>
      <c r="D625" s="235">
        <v>1159.96</v>
      </c>
      <c r="E625" s="234"/>
      <c r="F625" s="234"/>
      <c r="G625" s="153">
        <f t="shared" si="72"/>
        <v>7622732.3899999941</v>
      </c>
      <c r="H625" s="397" t="s">
        <v>25</v>
      </c>
      <c r="I625" s="393" t="s">
        <v>116</v>
      </c>
      <c r="J625" s="393" t="s">
        <v>117</v>
      </c>
      <c r="K625" s="15"/>
      <c r="L625" s="412" t="s">
        <v>437</v>
      </c>
      <c r="M625" t="str">
        <f t="shared" si="68"/>
        <v/>
      </c>
      <c r="N625" t="str">
        <f t="shared" si="66"/>
        <v/>
      </c>
    </row>
    <row r="626" spans="1:14" ht="15" thickBot="1">
      <c r="A626" s="231">
        <v>46252</v>
      </c>
      <c r="B626" s="396" t="s">
        <v>221</v>
      </c>
      <c r="C626" s="24">
        <v>0.93</v>
      </c>
      <c r="D626" s="235">
        <v>830.55</v>
      </c>
      <c r="E626" s="234"/>
      <c r="F626" s="234"/>
      <c r="G626" s="153">
        <f t="shared" si="72"/>
        <v>7621901.8399999943</v>
      </c>
      <c r="H626" s="397" t="s">
        <v>10</v>
      </c>
      <c r="I626" s="412" t="s">
        <v>266</v>
      </c>
      <c r="J626" s="412" t="s">
        <v>267</v>
      </c>
      <c r="K626" s="15"/>
      <c r="L626" s="412" t="s">
        <v>437</v>
      </c>
      <c r="M626" t="str">
        <f t="shared" si="68"/>
        <v/>
      </c>
      <c r="N626" t="str">
        <f t="shared" si="66"/>
        <v/>
      </c>
    </row>
    <row r="627" spans="1:14" ht="15" thickBot="1">
      <c r="A627" s="231">
        <v>46252</v>
      </c>
      <c r="B627" s="396" t="s">
        <v>221</v>
      </c>
      <c r="C627" s="24">
        <v>48.36</v>
      </c>
      <c r="D627" s="235">
        <v>43334.25</v>
      </c>
      <c r="E627" s="234"/>
      <c r="F627" s="234"/>
      <c r="G627" s="153">
        <f t="shared" si="72"/>
        <v>7578567.5899999943</v>
      </c>
      <c r="H627" s="397" t="s">
        <v>10</v>
      </c>
      <c r="I627" s="412" t="s">
        <v>266</v>
      </c>
      <c r="J627" s="412" t="s">
        <v>267</v>
      </c>
      <c r="K627" s="15"/>
      <c r="L627" s="412" t="s">
        <v>437</v>
      </c>
      <c r="M627" t="str">
        <f t="shared" si="68"/>
        <v/>
      </c>
      <c r="N627" t="str">
        <f t="shared" si="66"/>
        <v/>
      </c>
    </row>
    <row r="628" spans="1:14" ht="15" thickBot="1">
      <c r="A628" s="231">
        <v>46252</v>
      </c>
      <c r="B628" s="396" t="s">
        <v>221</v>
      </c>
      <c r="C628" s="24">
        <v>36</v>
      </c>
      <c r="D628" s="235">
        <v>32254.400000000001</v>
      </c>
      <c r="E628" s="234"/>
      <c r="F628" s="234"/>
      <c r="G628" s="153">
        <f t="shared" si="72"/>
        <v>7546313.1899999939</v>
      </c>
      <c r="H628" s="397" t="s">
        <v>10</v>
      </c>
      <c r="I628" s="412" t="s">
        <v>266</v>
      </c>
      <c r="J628" s="412" t="s">
        <v>267</v>
      </c>
      <c r="K628" s="15"/>
      <c r="L628" s="412" t="s">
        <v>437</v>
      </c>
      <c r="M628" t="str">
        <f t="shared" si="68"/>
        <v/>
      </c>
      <c r="N628" t="str">
        <f t="shared" si="66"/>
        <v/>
      </c>
    </row>
    <row r="629" spans="1:14" ht="15" thickBot="1">
      <c r="A629" s="231">
        <v>46252</v>
      </c>
      <c r="B629" s="396" t="s">
        <v>398</v>
      </c>
      <c r="C629" s="24">
        <v>17.440000000000001</v>
      </c>
      <c r="D629" s="235">
        <v>15627.16</v>
      </c>
      <c r="E629" s="234"/>
      <c r="F629" s="234"/>
      <c r="G629" s="153">
        <f t="shared" si="72"/>
        <v>7530686.0299999937</v>
      </c>
      <c r="H629" s="397" t="s">
        <v>10</v>
      </c>
      <c r="I629" s="393" t="s">
        <v>116</v>
      </c>
      <c r="J629" s="412" t="s">
        <v>269</v>
      </c>
      <c r="K629" s="15"/>
      <c r="L629" s="412" t="s">
        <v>437</v>
      </c>
      <c r="M629" t="str">
        <f t="shared" si="68"/>
        <v/>
      </c>
      <c r="N629" t="str">
        <f t="shared" si="66"/>
        <v/>
      </c>
    </row>
    <row r="630" spans="1:14" ht="15" thickBot="1">
      <c r="A630" s="69">
        <v>46252</v>
      </c>
      <c r="B630" s="70" t="s">
        <v>399</v>
      </c>
      <c r="C630" s="72"/>
      <c r="D630" s="73"/>
      <c r="E630" s="70">
        <v>70.739999999999995</v>
      </c>
      <c r="F630" s="72">
        <v>54843.4</v>
      </c>
      <c r="G630" s="74">
        <f>G629+F630</f>
        <v>7585529.4299999941</v>
      </c>
      <c r="H630" s="75" t="s">
        <v>10</v>
      </c>
      <c r="I630" s="412" t="s">
        <v>127</v>
      </c>
      <c r="J630" s="519" t="s">
        <v>740</v>
      </c>
      <c r="K630" s="412" t="s">
        <v>127</v>
      </c>
      <c r="L630" s="15"/>
      <c r="M630" t="str">
        <f t="shared" si="68"/>
        <v/>
      </c>
      <c r="N630" t="str">
        <f t="shared" si="66"/>
        <v/>
      </c>
    </row>
    <row r="631" spans="1:14" ht="15" thickBot="1">
      <c r="A631" s="69">
        <v>46252</v>
      </c>
      <c r="B631" s="70" t="s">
        <v>400</v>
      </c>
      <c r="C631" s="72"/>
      <c r="D631" s="73"/>
      <c r="E631" s="70">
        <v>2.96</v>
      </c>
      <c r="F631" s="72">
        <v>2293.0500000000002</v>
      </c>
      <c r="G631" s="74">
        <f>G630+F631</f>
        <v>7587822.4799999939</v>
      </c>
      <c r="H631" s="75" t="s">
        <v>10</v>
      </c>
      <c r="I631" s="412" t="s">
        <v>127</v>
      </c>
      <c r="J631" s="412" t="s">
        <v>438</v>
      </c>
      <c r="K631" s="412" t="s">
        <v>127</v>
      </c>
      <c r="L631" s="15"/>
      <c r="M631" t="str">
        <f t="shared" si="68"/>
        <v/>
      </c>
      <c r="N631" t="str">
        <f t="shared" si="66"/>
        <v/>
      </c>
    </row>
    <row r="632" spans="1:14" ht="15" thickBot="1">
      <c r="A632" s="69">
        <v>46253</v>
      </c>
      <c r="B632" s="70" t="s">
        <v>402</v>
      </c>
      <c r="C632" s="72"/>
      <c r="D632" s="73"/>
      <c r="E632" s="70">
        <v>29.05</v>
      </c>
      <c r="F632" s="72">
        <v>26343.29</v>
      </c>
      <c r="G632" s="74">
        <f t="shared" ref="G632:G634" si="73">G631+F632</f>
        <v>7614165.769999994</v>
      </c>
      <c r="H632" s="75" t="s">
        <v>13</v>
      </c>
      <c r="I632" s="412" t="s">
        <v>127</v>
      </c>
      <c r="J632" s="516" t="s">
        <v>738</v>
      </c>
      <c r="K632" s="412" t="s">
        <v>127</v>
      </c>
      <c r="L632" s="15"/>
      <c r="M632" t="str">
        <f t="shared" si="68"/>
        <v/>
      </c>
      <c r="N632" t="str">
        <f t="shared" si="66"/>
        <v/>
      </c>
    </row>
    <row r="633" spans="1:14" ht="15" thickBot="1">
      <c r="A633" s="69">
        <v>46253</v>
      </c>
      <c r="B633" s="70" t="s">
        <v>382</v>
      </c>
      <c r="C633" s="72"/>
      <c r="D633" s="73"/>
      <c r="E633" s="70">
        <v>20.34</v>
      </c>
      <c r="F633" s="72">
        <v>18441.18</v>
      </c>
      <c r="G633" s="74">
        <f t="shared" si="73"/>
        <v>7632606.9499999937</v>
      </c>
      <c r="H633" s="75" t="s">
        <v>13</v>
      </c>
      <c r="I633" s="412" t="s">
        <v>127</v>
      </c>
      <c r="J633" s="516" t="s">
        <v>738</v>
      </c>
      <c r="K633" s="412" t="s">
        <v>127</v>
      </c>
      <c r="L633" s="15"/>
      <c r="M633" t="str">
        <f t="shared" si="68"/>
        <v/>
      </c>
      <c r="N633" t="str">
        <f t="shared" si="66"/>
        <v/>
      </c>
    </row>
    <row r="634" spans="1:14" ht="15" thickBot="1">
      <c r="A634" s="69">
        <v>46253</v>
      </c>
      <c r="B634" s="70" t="s">
        <v>403</v>
      </c>
      <c r="C634" s="72"/>
      <c r="D634" s="73"/>
      <c r="E634" s="70">
        <v>11.62</v>
      </c>
      <c r="F634" s="72">
        <v>10539.19</v>
      </c>
      <c r="G634" s="74">
        <f t="shared" si="73"/>
        <v>7643146.1399999941</v>
      </c>
      <c r="H634" s="75" t="s">
        <v>13</v>
      </c>
      <c r="I634" s="412" t="s">
        <v>127</v>
      </c>
      <c r="J634" s="516" t="s">
        <v>738</v>
      </c>
      <c r="K634" s="412" t="s">
        <v>127</v>
      </c>
      <c r="L634" s="15"/>
      <c r="M634" t="str">
        <f t="shared" si="68"/>
        <v/>
      </c>
      <c r="N634" t="str">
        <f t="shared" si="66"/>
        <v/>
      </c>
    </row>
    <row r="635" spans="1:14" ht="15" thickBot="1">
      <c r="A635" s="231">
        <v>46253</v>
      </c>
      <c r="B635" s="363" t="s">
        <v>309</v>
      </c>
      <c r="C635" s="24">
        <v>0.44</v>
      </c>
      <c r="D635" s="235">
        <v>395.14</v>
      </c>
      <c r="E635" s="234"/>
      <c r="F635" s="234"/>
      <c r="G635" s="153">
        <f>G634-D635</f>
        <v>7642750.9999999944</v>
      </c>
      <c r="H635" s="401" t="s">
        <v>25</v>
      </c>
      <c r="I635" s="412" t="s">
        <v>116</v>
      </c>
      <c r="J635" s="393" t="s">
        <v>117</v>
      </c>
      <c r="K635" s="15"/>
      <c r="L635" s="412" t="s">
        <v>437</v>
      </c>
      <c r="M635" t="str">
        <f t="shared" si="68"/>
        <v/>
      </c>
      <c r="N635" t="str">
        <f t="shared" si="66"/>
        <v/>
      </c>
    </row>
    <row r="636" spans="1:14" ht="15" thickBot="1">
      <c r="A636" s="231">
        <v>46253</v>
      </c>
      <c r="B636" s="363" t="s">
        <v>309</v>
      </c>
      <c r="C636" s="24">
        <v>0.31</v>
      </c>
      <c r="D636" s="235">
        <v>276.61</v>
      </c>
      <c r="E636" s="234"/>
      <c r="F636" s="234"/>
      <c r="G636" s="153">
        <f t="shared" ref="G636:G637" si="74">G635-D636</f>
        <v>7642474.3899999941</v>
      </c>
      <c r="H636" s="401" t="s">
        <v>25</v>
      </c>
      <c r="I636" s="412" t="s">
        <v>116</v>
      </c>
      <c r="J636" s="393" t="s">
        <v>117</v>
      </c>
      <c r="K636" s="15"/>
      <c r="L636" s="412" t="s">
        <v>437</v>
      </c>
      <c r="M636" t="str">
        <f t="shared" si="68"/>
        <v/>
      </c>
      <c r="N636" t="str">
        <f t="shared" si="66"/>
        <v/>
      </c>
    </row>
    <row r="637" spans="1:14" ht="15" thickBot="1">
      <c r="A637" s="231">
        <v>46253</v>
      </c>
      <c r="B637" s="363" t="s">
        <v>309</v>
      </c>
      <c r="C637" s="24">
        <v>0.17</v>
      </c>
      <c r="D637" s="235">
        <v>158.08000000000001</v>
      </c>
      <c r="E637" s="234"/>
      <c r="F637" s="234"/>
      <c r="G637" s="153">
        <f t="shared" si="74"/>
        <v>7642316.309999994</v>
      </c>
      <c r="H637" s="401" t="s">
        <v>25</v>
      </c>
      <c r="I637" s="412" t="s">
        <v>116</v>
      </c>
      <c r="J637" s="393" t="s">
        <v>117</v>
      </c>
      <c r="K637" s="15"/>
      <c r="L637" s="412" t="s">
        <v>437</v>
      </c>
      <c r="M637" t="str">
        <f t="shared" si="68"/>
        <v/>
      </c>
      <c r="N637" t="str">
        <f t="shared" si="66"/>
        <v/>
      </c>
    </row>
    <row r="638" spans="1:14" ht="15" thickBot="1">
      <c r="A638" s="69">
        <v>46253</v>
      </c>
      <c r="B638" s="70" t="s">
        <v>404</v>
      </c>
      <c r="C638" s="72"/>
      <c r="D638" s="73"/>
      <c r="E638" s="70">
        <v>75.739999999999995</v>
      </c>
      <c r="F638" s="72">
        <v>68683.47</v>
      </c>
      <c r="G638" s="74">
        <f>G637+F638</f>
        <v>7710999.7799999937</v>
      </c>
      <c r="H638" s="75" t="s">
        <v>10</v>
      </c>
      <c r="I638" s="412" t="s">
        <v>127</v>
      </c>
      <c r="J638" s="519" t="s">
        <v>740</v>
      </c>
      <c r="K638" s="412" t="s">
        <v>127</v>
      </c>
      <c r="L638" s="15"/>
      <c r="M638" t="str">
        <f t="shared" si="68"/>
        <v/>
      </c>
      <c r="N638" t="str">
        <f t="shared" si="66"/>
        <v/>
      </c>
    </row>
    <row r="639" spans="1:14" ht="15" thickBot="1">
      <c r="A639" s="69">
        <v>46253</v>
      </c>
      <c r="B639" s="70" t="s">
        <v>405</v>
      </c>
      <c r="C639" s="72"/>
      <c r="D639" s="73"/>
      <c r="E639" s="70">
        <v>113.38</v>
      </c>
      <c r="F639" s="72">
        <v>102819.37</v>
      </c>
      <c r="G639" s="74">
        <f>G638+F639</f>
        <v>7813819.1499999939</v>
      </c>
      <c r="H639" s="75" t="s">
        <v>10</v>
      </c>
      <c r="I639" s="412" t="s">
        <v>127</v>
      </c>
      <c r="J639" s="519" t="s">
        <v>740</v>
      </c>
      <c r="K639" s="412" t="s">
        <v>127</v>
      </c>
      <c r="L639" s="15"/>
      <c r="M639" t="str">
        <f t="shared" si="68"/>
        <v/>
      </c>
      <c r="N639" t="str">
        <f t="shared" si="66"/>
        <v/>
      </c>
    </row>
    <row r="640" spans="1:14" ht="15" thickBot="1">
      <c r="A640" s="231">
        <v>46253</v>
      </c>
      <c r="B640" s="402" t="s">
        <v>406</v>
      </c>
      <c r="C640" s="24">
        <v>25.3</v>
      </c>
      <c r="D640" s="235">
        <v>22942</v>
      </c>
      <c r="E640" s="234"/>
      <c r="F640" s="234"/>
      <c r="G640" s="153">
        <f>G639-D640</f>
        <v>7790877.1499999939</v>
      </c>
      <c r="H640" s="401" t="s">
        <v>10</v>
      </c>
      <c r="I640" s="393" t="s">
        <v>119</v>
      </c>
      <c r="J640" s="393" t="s">
        <v>120</v>
      </c>
      <c r="K640" s="15"/>
      <c r="L640" s="412" t="s">
        <v>437</v>
      </c>
      <c r="M640" t="str">
        <f t="shared" si="68"/>
        <v/>
      </c>
      <c r="N640" t="str">
        <f t="shared" si="66"/>
        <v/>
      </c>
    </row>
    <row r="641" spans="1:14" ht="15" thickBot="1">
      <c r="A641" s="69">
        <v>46253</v>
      </c>
      <c r="B641" s="70" t="s">
        <v>409</v>
      </c>
      <c r="C641" s="72"/>
      <c r="D641" s="73"/>
      <c r="E641" s="70">
        <v>45.44</v>
      </c>
      <c r="F641" s="72">
        <v>41210.080000000002</v>
      </c>
      <c r="G641" s="74">
        <f>G640+F641</f>
        <v>7832087.2299999939</v>
      </c>
      <c r="H641" s="75" t="s">
        <v>10</v>
      </c>
      <c r="I641" s="412" t="s">
        <v>127</v>
      </c>
      <c r="J641" s="519" t="s">
        <v>740</v>
      </c>
      <c r="K641" s="412" t="s">
        <v>127</v>
      </c>
      <c r="L641" s="15"/>
      <c r="M641" t="str">
        <f t="shared" si="68"/>
        <v/>
      </c>
      <c r="N641" t="str">
        <f t="shared" si="66"/>
        <v/>
      </c>
    </row>
    <row r="642" spans="1:14" ht="15" thickBot="1">
      <c r="A642" s="231">
        <v>46253</v>
      </c>
      <c r="B642" s="402" t="s">
        <v>337</v>
      </c>
      <c r="C642" s="24">
        <v>12.85</v>
      </c>
      <c r="D642" s="235">
        <v>11656.42</v>
      </c>
      <c r="E642" s="234"/>
      <c r="F642" s="234"/>
      <c r="G642" s="153">
        <f>G641-D642</f>
        <v>7820430.809999994</v>
      </c>
      <c r="H642" s="401" t="s">
        <v>13</v>
      </c>
      <c r="I642" s="412" t="s">
        <v>116</v>
      </c>
      <c r="J642" s="393" t="s">
        <v>117</v>
      </c>
      <c r="K642" s="15"/>
      <c r="L642" s="412" t="s">
        <v>437</v>
      </c>
      <c r="M642" t="str">
        <f t="shared" si="68"/>
        <v/>
      </c>
      <c r="N642" t="str">
        <f t="shared" si="66"/>
        <v/>
      </c>
    </row>
    <row r="643" spans="1:14" ht="15" thickBot="1">
      <c r="A643" s="231">
        <v>46253</v>
      </c>
      <c r="B643" s="402" t="s">
        <v>407</v>
      </c>
      <c r="C643" s="24">
        <v>19.84</v>
      </c>
      <c r="D643" s="235">
        <v>17987.78</v>
      </c>
      <c r="E643" s="234"/>
      <c r="F643" s="234"/>
      <c r="G643" s="153">
        <f>G642-D643</f>
        <v>7802443.0299999937</v>
      </c>
      <c r="H643" s="401" t="s">
        <v>13</v>
      </c>
      <c r="I643" s="393" t="s">
        <v>116</v>
      </c>
      <c r="J643" s="393" t="s">
        <v>391</v>
      </c>
      <c r="K643" s="15"/>
      <c r="L643" s="412" t="s">
        <v>437</v>
      </c>
      <c r="M643" t="str">
        <f t="shared" si="68"/>
        <v/>
      </c>
      <c r="N643" t="str">
        <f t="shared" si="66"/>
        <v/>
      </c>
    </row>
    <row r="644" spans="1:14" ht="15" thickBot="1">
      <c r="A644" s="231">
        <v>46253</v>
      </c>
      <c r="B644" s="402" t="s">
        <v>408</v>
      </c>
      <c r="C644" s="24">
        <v>55.66</v>
      </c>
      <c r="D644" s="235">
        <v>50474.64</v>
      </c>
      <c r="E644" s="234"/>
      <c r="F644" s="234"/>
      <c r="G644" s="153">
        <f>G643-D644</f>
        <v>7751968.3899999941</v>
      </c>
      <c r="H644" s="401" t="s">
        <v>13</v>
      </c>
      <c r="I644" s="412" t="s">
        <v>116</v>
      </c>
      <c r="J644" s="412" t="s">
        <v>390</v>
      </c>
      <c r="K644" s="15"/>
      <c r="L644" s="412" t="s">
        <v>437</v>
      </c>
      <c r="M644" t="str">
        <f t="shared" si="68"/>
        <v/>
      </c>
      <c r="N644" t="str">
        <f t="shared" ref="N644:N707" si="75">IF(C644="","",IF(C644=D644,"OJOOO",""))</f>
        <v/>
      </c>
    </row>
    <row r="645" spans="1:14" ht="15" thickBot="1">
      <c r="A645" s="69">
        <v>46253</v>
      </c>
      <c r="B645" s="70" t="s">
        <v>410</v>
      </c>
      <c r="C645" s="72"/>
      <c r="D645" s="73"/>
      <c r="E645" s="70">
        <v>5.35</v>
      </c>
      <c r="F645" s="72">
        <v>4848.24</v>
      </c>
      <c r="G645" s="74">
        <f>G644+F645</f>
        <v>7756816.6299999943</v>
      </c>
      <c r="H645" s="75" t="s">
        <v>10</v>
      </c>
      <c r="I645" s="412" t="s">
        <v>127</v>
      </c>
      <c r="J645" s="519" t="s">
        <v>740</v>
      </c>
      <c r="K645" s="412" t="s">
        <v>127</v>
      </c>
      <c r="L645" s="15"/>
      <c r="M645" t="str">
        <f t="shared" si="68"/>
        <v/>
      </c>
      <c r="N645" t="str">
        <f t="shared" si="75"/>
        <v/>
      </c>
    </row>
    <row r="646" spans="1:14" ht="15" thickBot="1">
      <c r="A646" s="69">
        <v>46253</v>
      </c>
      <c r="B646" s="70" t="s">
        <v>411</v>
      </c>
      <c r="C646" s="72"/>
      <c r="D646" s="73"/>
      <c r="E646" s="70">
        <v>60.59</v>
      </c>
      <c r="F646" s="72">
        <v>54946.77</v>
      </c>
      <c r="G646" s="74">
        <f>G645+F646</f>
        <v>7811763.3999999939</v>
      </c>
      <c r="H646" s="75" t="s">
        <v>10</v>
      </c>
      <c r="I646" s="412" t="s">
        <v>127</v>
      </c>
      <c r="J646" s="519" t="s">
        <v>740</v>
      </c>
      <c r="K646" s="412" t="s">
        <v>127</v>
      </c>
      <c r="L646" s="15"/>
      <c r="M646" t="str">
        <f t="shared" si="68"/>
        <v/>
      </c>
      <c r="N646" t="str">
        <f t="shared" si="75"/>
        <v/>
      </c>
    </row>
    <row r="647" spans="1:14" ht="15" thickBot="1">
      <c r="A647" s="69">
        <v>46253</v>
      </c>
      <c r="B647" s="70" t="s">
        <v>412</v>
      </c>
      <c r="C647" s="72"/>
      <c r="D647" s="73"/>
      <c r="E647" s="70">
        <v>29.7</v>
      </c>
      <c r="F647" s="72">
        <v>26934.6</v>
      </c>
      <c r="G647" s="74">
        <f>G646+F647</f>
        <v>7838697.9999999935</v>
      </c>
      <c r="H647" s="75" t="s">
        <v>10</v>
      </c>
      <c r="I647" s="412" t="s">
        <v>127</v>
      </c>
      <c r="J647" s="519" t="s">
        <v>740</v>
      </c>
      <c r="K647" s="412" t="s">
        <v>127</v>
      </c>
      <c r="L647" s="15"/>
      <c r="M647" t="str">
        <f t="shared" si="68"/>
        <v/>
      </c>
      <c r="N647" t="str">
        <f t="shared" si="75"/>
        <v/>
      </c>
    </row>
    <row r="648" spans="1:14" ht="15" thickBot="1">
      <c r="A648" s="69">
        <v>46254</v>
      </c>
      <c r="B648" s="70" t="s">
        <v>413</v>
      </c>
      <c r="C648" s="72"/>
      <c r="D648" s="73"/>
      <c r="E648" s="70">
        <v>23.29</v>
      </c>
      <c r="F648" s="72">
        <v>21116.81</v>
      </c>
      <c r="G648" s="74">
        <f>G647+F648</f>
        <v>7859814.8099999931</v>
      </c>
      <c r="H648" s="75" t="s">
        <v>13</v>
      </c>
      <c r="I648" s="412" t="s">
        <v>127</v>
      </c>
      <c r="J648" s="516" t="s">
        <v>738</v>
      </c>
      <c r="K648" s="412" t="s">
        <v>127</v>
      </c>
      <c r="L648" s="15"/>
      <c r="M648" t="str">
        <f t="shared" si="68"/>
        <v/>
      </c>
      <c r="N648" t="str">
        <f t="shared" si="75"/>
        <v/>
      </c>
    </row>
    <row r="649" spans="1:14" ht="15" thickBot="1">
      <c r="A649" s="69">
        <v>46254</v>
      </c>
      <c r="B649" s="70" t="s">
        <v>396</v>
      </c>
      <c r="C649" s="72"/>
      <c r="D649" s="73"/>
      <c r="E649" s="70">
        <v>17.46</v>
      </c>
      <c r="F649" s="72">
        <v>15837.61</v>
      </c>
      <c r="G649" s="74">
        <f>G648+F649</f>
        <v>7875652.4199999934</v>
      </c>
      <c r="H649" s="75" t="s">
        <v>13</v>
      </c>
      <c r="I649" s="412" t="s">
        <v>127</v>
      </c>
      <c r="J649" s="516" t="s">
        <v>738</v>
      </c>
      <c r="K649" s="412" t="s">
        <v>127</v>
      </c>
      <c r="L649" s="15"/>
      <c r="M649" t="str">
        <f t="shared" si="68"/>
        <v/>
      </c>
      <c r="N649" t="str">
        <f t="shared" si="75"/>
        <v/>
      </c>
    </row>
    <row r="650" spans="1:14" ht="15" thickBot="1">
      <c r="A650" s="231">
        <v>46254</v>
      </c>
      <c r="B650" s="363" t="s">
        <v>309</v>
      </c>
      <c r="C650" s="24">
        <v>0.35</v>
      </c>
      <c r="D650" s="235">
        <v>316.75</v>
      </c>
      <c r="E650" s="234"/>
      <c r="F650" s="234"/>
      <c r="G650" s="153">
        <f>G649-D650</f>
        <v>7875335.6699999934</v>
      </c>
      <c r="H650" s="401" t="s">
        <v>25</v>
      </c>
      <c r="I650" s="412" t="s">
        <v>116</v>
      </c>
      <c r="J650" s="412" t="s">
        <v>117</v>
      </c>
      <c r="K650" s="15"/>
      <c r="L650" s="412" t="s">
        <v>437</v>
      </c>
      <c r="M650" t="str">
        <f t="shared" si="68"/>
        <v/>
      </c>
      <c r="N650" t="str">
        <f t="shared" si="75"/>
        <v/>
      </c>
    </row>
    <row r="651" spans="1:14" ht="15" thickBot="1">
      <c r="A651" s="231">
        <v>46254</v>
      </c>
      <c r="B651" s="363" t="s">
        <v>309</v>
      </c>
      <c r="C651" s="24">
        <v>0.26</v>
      </c>
      <c r="D651" s="235">
        <v>237.56</v>
      </c>
      <c r="E651" s="234"/>
      <c r="F651" s="234"/>
      <c r="G651" s="153">
        <f>G650-D651</f>
        <v>7875098.1099999938</v>
      </c>
      <c r="H651" s="401" t="s">
        <v>25</v>
      </c>
      <c r="I651" s="412" t="s">
        <v>116</v>
      </c>
      <c r="J651" s="412" t="s">
        <v>117</v>
      </c>
      <c r="K651" s="15"/>
      <c r="L651" s="412" t="s">
        <v>437</v>
      </c>
      <c r="M651" t="str">
        <f t="shared" si="68"/>
        <v/>
      </c>
      <c r="N651" t="str">
        <f t="shared" si="75"/>
        <v/>
      </c>
    </row>
    <row r="652" spans="1:14" ht="29.5" thickBot="1">
      <c r="A652" s="231">
        <v>46254</v>
      </c>
      <c r="B652" s="403" t="s">
        <v>414</v>
      </c>
      <c r="C652" s="24">
        <v>6.73</v>
      </c>
      <c r="D652" s="235">
        <v>6107.29</v>
      </c>
      <c r="E652" s="234"/>
      <c r="F652" s="234"/>
      <c r="G652" s="153">
        <f>G651-D652</f>
        <v>7868990.8199999938</v>
      </c>
      <c r="H652" s="401" t="s">
        <v>13</v>
      </c>
      <c r="I652" s="412" t="s">
        <v>116</v>
      </c>
      <c r="J652" s="412" t="s">
        <v>269</v>
      </c>
      <c r="K652" s="15"/>
      <c r="L652" s="412" t="s">
        <v>437</v>
      </c>
      <c r="M652" t="str">
        <f t="shared" si="68"/>
        <v/>
      </c>
      <c r="N652" t="str">
        <f t="shared" si="75"/>
        <v/>
      </c>
    </row>
    <row r="653" spans="1:14" ht="15" thickBot="1">
      <c r="A653" s="231">
        <v>46254</v>
      </c>
      <c r="B653" s="402" t="s">
        <v>415</v>
      </c>
      <c r="C653" s="24">
        <v>90.02</v>
      </c>
      <c r="D653" s="235">
        <v>81629</v>
      </c>
      <c r="E653" s="234"/>
      <c r="F653" s="234"/>
      <c r="G653" s="153">
        <f>G652-D653</f>
        <v>7787361.8199999938</v>
      </c>
      <c r="H653" s="401" t="s">
        <v>10</v>
      </c>
      <c r="I653" s="412" t="s">
        <v>119</v>
      </c>
      <c r="J653" s="416" t="s">
        <v>443</v>
      </c>
      <c r="K653" s="15"/>
      <c r="L653" s="412" t="s">
        <v>437</v>
      </c>
      <c r="M653" t="str">
        <f t="shared" si="68"/>
        <v/>
      </c>
      <c r="N653" t="str">
        <f t="shared" si="75"/>
        <v/>
      </c>
    </row>
    <row r="654" spans="1:14" ht="15" thickBot="1">
      <c r="A654" s="69">
        <v>46255</v>
      </c>
      <c r="B654" s="70" t="s">
        <v>418</v>
      </c>
      <c r="C654" s="72"/>
      <c r="D654" s="73"/>
      <c r="E654" s="70">
        <v>46.57</v>
      </c>
      <c r="F654" s="72">
        <v>42657.440000000002</v>
      </c>
      <c r="G654" s="74">
        <f>G653+F654</f>
        <v>7830019.2599999942</v>
      </c>
      <c r="H654" s="75" t="s">
        <v>13</v>
      </c>
      <c r="I654" s="412" t="s">
        <v>127</v>
      </c>
      <c r="J654" s="516" t="s">
        <v>738</v>
      </c>
      <c r="K654" s="412" t="s">
        <v>127</v>
      </c>
      <c r="L654" s="412"/>
      <c r="M654" t="str">
        <f t="shared" si="68"/>
        <v/>
      </c>
      <c r="N654" t="str">
        <f t="shared" si="75"/>
        <v/>
      </c>
    </row>
    <row r="655" spans="1:14" ht="15" thickBot="1">
      <c r="A655" s="69">
        <v>46255</v>
      </c>
      <c r="B655" s="70" t="s">
        <v>402</v>
      </c>
      <c r="C655" s="72"/>
      <c r="D655" s="73"/>
      <c r="E655" s="70">
        <v>9.6999999999999993</v>
      </c>
      <c r="F655" s="72">
        <v>8886.9699999999993</v>
      </c>
      <c r="G655" s="74">
        <f>G654+F655</f>
        <v>7838906.2299999939</v>
      </c>
      <c r="H655" s="75" t="s">
        <v>13</v>
      </c>
      <c r="I655" s="412" t="s">
        <v>127</v>
      </c>
      <c r="J655" s="516" t="s">
        <v>738</v>
      </c>
      <c r="K655" s="412" t="s">
        <v>127</v>
      </c>
      <c r="L655" s="15"/>
      <c r="M655" t="str">
        <f t="shared" si="68"/>
        <v/>
      </c>
      <c r="N655" t="str">
        <f t="shared" si="75"/>
        <v/>
      </c>
    </row>
    <row r="656" spans="1:14" ht="15" thickBot="1">
      <c r="A656" s="231">
        <v>46255</v>
      </c>
      <c r="B656" s="363" t="s">
        <v>309</v>
      </c>
      <c r="C656" s="24">
        <v>0.7</v>
      </c>
      <c r="D656" s="235">
        <v>639.86</v>
      </c>
      <c r="E656" s="234"/>
      <c r="F656" s="234"/>
      <c r="G656" s="153">
        <f>G655-D656</f>
        <v>7838266.3699999936</v>
      </c>
      <c r="H656" s="406" t="s">
        <v>25</v>
      </c>
      <c r="I656" s="412" t="s">
        <v>116</v>
      </c>
      <c r="J656" s="412" t="s">
        <v>117</v>
      </c>
      <c r="K656" s="412"/>
      <c r="L656" s="412" t="s">
        <v>437</v>
      </c>
      <c r="M656" t="str">
        <f t="shared" si="68"/>
        <v/>
      </c>
      <c r="N656" t="str">
        <f t="shared" si="75"/>
        <v/>
      </c>
    </row>
    <row r="657" spans="1:14" ht="15" thickBot="1">
      <c r="A657" s="231">
        <v>46255</v>
      </c>
      <c r="B657" s="363" t="s">
        <v>309</v>
      </c>
      <c r="C657" s="24">
        <v>0.15</v>
      </c>
      <c r="D657" s="235">
        <v>133.30000000000001</v>
      </c>
      <c r="E657" s="234"/>
      <c r="F657" s="234"/>
      <c r="G657" s="153">
        <f>G656-D657</f>
        <v>7838133.0699999938</v>
      </c>
      <c r="H657" s="406" t="s">
        <v>25</v>
      </c>
      <c r="I657" s="412" t="s">
        <v>116</v>
      </c>
      <c r="J657" s="412" t="s">
        <v>117</v>
      </c>
      <c r="K657" s="15"/>
      <c r="L657" s="412" t="s">
        <v>437</v>
      </c>
      <c r="M657" t="str">
        <f t="shared" si="68"/>
        <v/>
      </c>
      <c r="N657" t="str">
        <f t="shared" si="75"/>
        <v/>
      </c>
    </row>
    <row r="658" spans="1:14" ht="15" thickBot="1">
      <c r="A658" s="69">
        <v>46255</v>
      </c>
      <c r="B658" s="70" t="s">
        <v>419</v>
      </c>
      <c r="C658" s="72"/>
      <c r="D658" s="73"/>
      <c r="E658" s="70">
        <v>19.96</v>
      </c>
      <c r="F658" s="72">
        <v>18279</v>
      </c>
      <c r="G658" s="74">
        <f>G657+F658</f>
        <v>7856412.0699999938</v>
      </c>
      <c r="H658" s="75" t="s">
        <v>10</v>
      </c>
      <c r="I658" s="412" t="s">
        <v>127</v>
      </c>
      <c r="J658" s="519" t="s">
        <v>740</v>
      </c>
      <c r="K658" s="412" t="s">
        <v>127</v>
      </c>
      <c r="L658" s="15"/>
      <c r="M658" t="str">
        <f t="shared" si="68"/>
        <v/>
      </c>
      <c r="N658" t="str">
        <f t="shared" si="75"/>
        <v/>
      </c>
    </row>
    <row r="659" spans="1:14" ht="15" thickBot="1">
      <c r="A659" s="69">
        <v>46255</v>
      </c>
      <c r="B659" s="70" t="s">
        <v>420</v>
      </c>
      <c r="C659" s="72"/>
      <c r="D659" s="73"/>
      <c r="E659" s="70">
        <v>9.98</v>
      </c>
      <c r="F659" s="72">
        <v>9139.5</v>
      </c>
      <c r="G659" s="74">
        <f>G658+F659</f>
        <v>7865551.5699999938</v>
      </c>
      <c r="H659" s="75" t="s">
        <v>10</v>
      </c>
      <c r="I659" s="412" t="s">
        <v>127</v>
      </c>
      <c r="J659" s="519" t="s">
        <v>740</v>
      </c>
      <c r="K659" s="412" t="s">
        <v>127</v>
      </c>
      <c r="L659" s="15"/>
      <c r="M659" t="str">
        <f t="shared" si="68"/>
        <v/>
      </c>
      <c r="N659" t="str">
        <f t="shared" si="75"/>
        <v/>
      </c>
    </row>
    <row r="660" spans="1:14" ht="15" thickBot="1">
      <c r="A660" s="231">
        <v>46255</v>
      </c>
      <c r="B660" s="407" t="s">
        <v>421</v>
      </c>
      <c r="C660" s="24">
        <v>298.47000000000003</v>
      </c>
      <c r="D660" s="235">
        <v>273404.44</v>
      </c>
      <c r="E660" s="234"/>
      <c r="F660" s="234"/>
      <c r="G660" s="153">
        <f>G659-D660</f>
        <v>7592147.1299999934</v>
      </c>
      <c r="H660" s="406" t="s">
        <v>10</v>
      </c>
      <c r="I660" s="412" t="s">
        <v>116</v>
      </c>
      <c r="J660" s="412" t="s">
        <v>117</v>
      </c>
      <c r="K660" s="15"/>
      <c r="L660" s="412" t="s">
        <v>437</v>
      </c>
      <c r="M660" t="str">
        <f t="shared" ref="M660:M723" si="76">IF(E660="","",IF(E660=F660,"OJOOO",""))</f>
        <v/>
      </c>
      <c r="N660" t="str">
        <f t="shared" si="75"/>
        <v/>
      </c>
    </row>
    <row r="661" spans="1:14" ht="15" thickBot="1">
      <c r="A661" s="231">
        <v>46255</v>
      </c>
      <c r="B661" s="407" t="s">
        <v>31</v>
      </c>
      <c r="C661" s="24">
        <v>0.9</v>
      </c>
      <c r="D661" s="235">
        <v>820.21</v>
      </c>
      <c r="E661" s="234"/>
      <c r="F661" s="234"/>
      <c r="G661" s="153">
        <f>G660-D661</f>
        <v>7591326.9199999934</v>
      </c>
      <c r="H661" s="406" t="s">
        <v>25</v>
      </c>
      <c r="I661" s="412" t="s">
        <v>116</v>
      </c>
      <c r="J661" s="412" t="s">
        <v>116</v>
      </c>
      <c r="K661" s="15"/>
      <c r="L661" s="412" t="s">
        <v>437</v>
      </c>
      <c r="M661" t="str">
        <f t="shared" si="76"/>
        <v/>
      </c>
      <c r="N661" t="str">
        <f t="shared" si="75"/>
        <v/>
      </c>
    </row>
    <row r="662" spans="1:14" ht="15" thickBot="1">
      <c r="A662" s="69">
        <v>46255</v>
      </c>
      <c r="B662" s="70" t="s">
        <v>422</v>
      </c>
      <c r="C662" s="72"/>
      <c r="D662" s="73"/>
      <c r="E662" s="70">
        <v>206.92</v>
      </c>
      <c r="F662" s="72">
        <v>189539.26</v>
      </c>
      <c r="G662" s="74">
        <f>G661+F662</f>
        <v>7780866.1799999932</v>
      </c>
      <c r="H662" s="75" t="s">
        <v>10</v>
      </c>
      <c r="I662" s="412" t="s">
        <v>127</v>
      </c>
      <c r="J662" s="519" t="s">
        <v>740</v>
      </c>
      <c r="K662" s="412" t="s">
        <v>127</v>
      </c>
      <c r="L662" s="15"/>
      <c r="M662" t="str">
        <f t="shared" si="76"/>
        <v/>
      </c>
      <c r="N662" t="str">
        <f t="shared" si="75"/>
        <v/>
      </c>
    </row>
    <row r="663" spans="1:14" ht="15" thickBot="1">
      <c r="A663" s="69">
        <v>46256</v>
      </c>
      <c r="B663" s="70" t="s">
        <v>423</v>
      </c>
      <c r="C663" s="72"/>
      <c r="D663" s="73"/>
      <c r="E663" s="70">
        <v>14.4</v>
      </c>
      <c r="F663" s="72">
        <v>13189.85</v>
      </c>
      <c r="G663" s="74">
        <f t="shared" ref="G663:G665" si="77">G662+F663</f>
        <v>7794056.0299999928</v>
      </c>
      <c r="H663" s="75" t="s">
        <v>13</v>
      </c>
      <c r="I663" s="412" t="s">
        <v>127</v>
      </c>
      <c r="J663" s="519" t="s">
        <v>741</v>
      </c>
      <c r="K663" s="412" t="s">
        <v>127</v>
      </c>
      <c r="L663" s="15"/>
      <c r="M663" t="str">
        <f t="shared" si="76"/>
        <v/>
      </c>
      <c r="N663" t="str">
        <f t="shared" si="75"/>
        <v/>
      </c>
    </row>
    <row r="664" spans="1:14" ht="15" thickBot="1">
      <c r="A664" s="69">
        <v>46256</v>
      </c>
      <c r="B664" s="70" t="s">
        <v>424</v>
      </c>
      <c r="C664" s="72"/>
      <c r="D664" s="73"/>
      <c r="E664" s="70">
        <v>52.62</v>
      </c>
      <c r="F664" s="72">
        <v>48195.82</v>
      </c>
      <c r="G664" s="74">
        <f t="shared" si="77"/>
        <v>7842251.8499999931</v>
      </c>
      <c r="H664" s="75" t="s">
        <v>13</v>
      </c>
      <c r="I664" s="412" t="s">
        <v>127</v>
      </c>
      <c r="J664" s="516" t="s">
        <v>738</v>
      </c>
      <c r="K664" s="412" t="s">
        <v>127</v>
      </c>
      <c r="L664" s="15"/>
      <c r="M664" t="str">
        <f t="shared" si="76"/>
        <v/>
      </c>
      <c r="N664" t="str">
        <f t="shared" si="75"/>
        <v/>
      </c>
    </row>
    <row r="665" spans="1:14" ht="15" thickBot="1">
      <c r="A665" s="69">
        <v>46256</v>
      </c>
      <c r="B665" s="70" t="s">
        <v>413</v>
      </c>
      <c r="C665" s="72"/>
      <c r="D665" s="73"/>
      <c r="E665" s="70">
        <v>17.55</v>
      </c>
      <c r="F665" s="72">
        <v>16073.87</v>
      </c>
      <c r="G665" s="74">
        <f t="shared" si="77"/>
        <v>7858325.7199999932</v>
      </c>
      <c r="H665" s="75" t="s">
        <v>13</v>
      </c>
      <c r="I665" s="412" t="s">
        <v>127</v>
      </c>
      <c r="J665" s="516" t="s">
        <v>738</v>
      </c>
      <c r="K665" s="412" t="s">
        <v>127</v>
      </c>
      <c r="L665" s="15"/>
      <c r="M665" t="str">
        <f t="shared" si="76"/>
        <v/>
      </c>
      <c r="N665" t="str">
        <f t="shared" si="75"/>
        <v/>
      </c>
    </row>
    <row r="666" spans="1:14" ht="15" thickBot="1">
      <c r="A666" s="231">
        <v>46256</v>
      </c>
      <c r="B666" s="363" t="s">
        <v>309</v>
      </c>
      <c r="C666" s="24">
        <v>0.79</v>
      </c>
      <c r="D666" s="235">
        <v>722.93</v>
      </c>
      <c r="E666" s="234"/>
      <c r="F666" s="234"/>
      <c r="G666" s="153">
        <f>G665-D666</f>
        <v>7857602.7899999935</v>
      </c>
      <c r="H666" s="406" t="s">
        <v>25</v>
      </c>
      <c r="I666" s="412" t="s">
        <v>116</v>
      </c>
      <c r="J666" s="412" t="s">
        <v>117</v>
      </c>
      <c r="K666" s="15"/>
      <c r="L666" s="412" t="s">
        <v>437</v>
      </c>
      <c r="M666" t="str">
        <f t="shared" si="76"/>
        <v/>
      </c>
      <c r="N666" t="str">
        <f t="shared" si="75"/>
        <v/>
      </c>
    </row>
    <row r="667" spans="1:14" ht="15" thickBot="1">
      <c r="A667" s="231">
        <v>46256</v>
      </c>
      <c r="B667" s="363" t="s">
        <v>309</v>
      </c>
      <c r="C667" s="24">
        <v>0.26</v>
      </c>
      <c r="D667" s="235">
        <v>241.1</v>
      </c>
      <c r="E667" s="234"/>
      <c r="F667" s="234"/>
      <c r="G667" s="153">
        <f t="shared" ref="G667:G668" si="78">G666-D667</f>
        <v>7857361.6899999939</v>
      </c>
      <c r="H667" s="406" t="s">
        <v>25</v>
      </c>
      <c r="I667" s="412" t="s">
        <v>116</v>
      </c>
      <c r="J667" s="412" t="s">
        <v>117</v>
      </c>
      <c r="K667" s="15"/>
      <c r="L667" s="412" t="s">
        <v>437</v>
      </c>
      <c r="M667" t="str">
        <f t="shared" si="76"/>
        <v/>
      </c>
      <c r="N667" t="str">
        <f t="shared" si="75"/>
        <v/>
      </c>
    </row>
    <row r="668" spans="1:14" ht="15" thickBot="1">
      <c r="A668" s="231">
        <v>46256</v>
      </c>
      <c r="B668" s="363" t="s">
        <v>309</v>
      </c>
      <c r="C668" s="24">
        <v>0.22</v>
      </c>
      <c r="D668" s="235">
        <v>197.84</v>
      </c>
      <c r="E668" s="234"/>
      <c r="F668" s="234"/>
      <c r="G668" s="153">
        <f t="shared" si="78"/>
        <v>7857163.849999994</v>
      </c>
      <c r="H668" s="406" t="s">
        <v>25</v>
      </c>
      <c r="I668" s="412" t="s">
        <v>116</v>
      </c>
      <c r="J668" s="412" t="s">
        <v>117</v>
      </c>
      <c r="K668" s="15"/>
      <c r="L668" s="412" t="s">
        <v>437</v>
      </c>
      <c r="M668" t="str">
        <f t="shared" si="76"/>
        <v/>
      </c>
      <c r="N668" t="str">
        <f t="shared" si="75"/>
        <v/>
      </c>
    </row>
    <row r="669" spans="1:14" ht="15" thickBot="1">
      <c r="A669" s="69">
        <v>46257</v>
      </c>
      <c r="B669" s="70" t="s">
        <v>418</v>
      </c>
      <c r="C669" s="72"/>
      <c r="D669" s="73"/>
      <c r="E669" s="70">
        <v>23.52</v>
      </c>
      <c r="F669" s="72">
        <v>21544.48</v>
      </c>
      <c r="G669" s="74">
        <f>G668+F669</f>
        <v>7878708.3299999945</v>
      </c>
      <c r="H669" s="75" t="s">
        <v>13</v>
      </c>
      <c r="I669" s="412" t="s">
        <v>127</v>
      </c>
      <c r="J669" s="516" t="s">
        <v>738</v>
      </c>
      <c r="K669" s="412" t="s">
        <v>127</v>
      </c>
      <c r="L669" s="15"/>
      <c r="M669" t="str">
        <f t="shared" si="76"/>
        <v/>
      </c>
      <c r="N669" t="str">
        <f t="shared" si="75"/>
        <v/>
      </c>
    </row>
    <row r="670" spans="1:14" ht="15" thickBot="1">
      <c r="A670" s="69">
        <v>46257</v>
      </c>
      <c r="B670" s="70" t="s">
        <v>425</v>
      </c>
      <c r="C670" s="72"/>
      <c r="D670" s="73"/>
      <c r="E670" s="70">
        <v>23.52</v>
      </c>
      <c r="F670" s="72">
        <v>21544.48</v>
      </c>
      <c r="G670" s="74">
        <f>G669+F670</f>
        <v>7900252.8099999949</v>
      </c>
      <c r="H670" s="75" t="s">
        <v>13</v>
      </c>
      <c r="I670" s="412" t="s">
        <v>127</v>
      </c>
      <c r="J670" s="516" t="s">
        <v>738</v>
      </c>
      <c r="K670" s="412" t="s">
        <v>127</v>
      </c>
      <c r="L670" s="15"/>
      <c r="M670" t="str">
        <f t="shared" si="76"/>
        <v/>
      </c>
      <c r="N670" t="str">
        <f t="shared" si="75"/>
        <v/>
      </c>
    </row>
    <row r="671" spans="1:14" ht="15" thickBot="1">
      <c r="A671" s="231">
        <v>46257</v>
      </c>
      <c r="B671" s="363" t="s">
        <v>309</v>
      </c>
      <c r="C671" s="24">
        <v>0.35</v>
      </c>
      <c r="D671" s="235">
        <v>323.16000000000003</v>
      </c>
      <c r="E671" s="234"/>
      <c r="F671" s="234"/>
      <c r="G671" s="153">
        <f>G670-D671</f>
        <v>7899929.6499999948</v>
      </c>
      <c r="H671" s="406" t="s">
        <v>25</v>
      </c>
      <c r="I671" s="412" t="s">
        <v>116</v>
      </c>
      <c r="J671" s="412" t="s">
        <v>117</v>
      </c>
      <c r="K671" s="15"/>
      <c r="L671" s="412" t="s">
        <v>437</v>
      </c>
      <c r="M671" t="str">
        <f t="shared" si="76"/>
        <v/>
      </c>
      <c r="N671" t="str">
        <f t="shared" si="75"/>
        <v/>
      </c>
    </row>
    <row r="672" spans="1:14" ht="15" thickBot="1">
      <c r="A672" s="231">
        <v>46257</v>
      </c>
      <c r="B672" s="363" t="s">
        <v>309</v>
      </c>
      <c r="C672" s="24">
        <v>0.35</v>
      </c>
      <c r="D672" s="235">
        <v>323.16000000000003</v>
      </c>
      <c r="E672" s="234"/>
      <c r="F672" s="234"/>
      <c r="G672" s="153">
        <f>G671-D672</f>
        <v>7899606.4899999946</v>
      </c>
      <c r="H672" s="406" t="s">
        <v>25</v>
      </c>
      <c r="I672" s="412" t="s">
        <v>116</v>
      </c>
      <c r="J672" s="412" t="s">
        <v>117</v>
      </c>
      <c r="K672" s="15"/>
      <c r="L672" s="412" t="s">
        <v>437</v>
      </c>
      <c r="M672" t="str">
        <f t="shared" si="76"/>
        <v/>
      </c>
      <c r="N672" t="str">
        <f t="shared" si="75"/>
        <v/>
      </c>
    </row>
    <row r="673" spans="1:14" ht="15" thickBot="1">
      <c r="A673" s="69">
        <v>46258</v>
      </c>
      <c r="B673" s="70" t="s">
        <v>424</v>
      </c>
      <c r="C673" s="72"/>
      <c r="D673" s="73"/>
      <c r="E673" s="70">
        <v>8.82</v>
      </c>
      <c r="F673" s="72">
        <v>8079.18</v>
      </c>
      <c r="G673" s="74">
        <f>G672+F673</f>
        <v>7907685.6699999943</v>
      </c>
      <c r="H673" s="75" t="s">
        <v>13</v>
      </c>
      <c r="I673" s="412" t="s">
        <v>127</v>
      </c>
      <c r="J673" s="516" t="s">
        <v>738</v>
      </c>
      <c r="K673" s="412" t="s">
        <v>127</v>
      </c>
      <c r="L673" s="15"/>
      <c r="M673" t="str">
        <f t="shared" si="76"/>
        <v/>
      </c>
      <c r="N673" t="str">
        <f t="shared" si="75"/>
        <v/>
      </c>
    </row>
    <row r="674" spans="1:14" ht="15" thickBot="1">
      <c r="A674" s="69">
        <v>46258</v>
      </c>
      <c r="B674" s="70" t="s">
        <v>426</v>
      </c>
      <c r="C674" s="72"/>
      <c r="D674" s="73"/>
      <c r="E674" s="70">
        <v>2.94</v>
      </c>
      <c r="F674" s="72">
        <v>2693.06</v>
      </c>
      <c r="G674" s="74">
        <f t="shared" ref="G674:G675" si="79">G673+F674</f>
        <v>7910378.7299999939</v>
      </c>
      <c r="H674" s="75" t="s">
        <v>13</v>
      </c>
      <c r="I674" s="412" t="s">
        <v>127</v>
      </c>
      <c r="J674" s="516" t="s">
        <v>738</v>
      </c>
      <c r="K674" s="412" t="s">
        <v>127</v>
      </c>
      <c r="L674" s="15"/>
      <c r="M674" t="str">
        <f t="shared" si="76"/>
        <v/>
      </c>
      <c r="N674" t="str">
        <f t="shared" si="75"/>
        <v/>
      </c>
    </row>
    <row r="675" spans="1:14" ht="15" thickBot="1">
      <c r="A675" s="69">
        <v>46258</v>
      </c>
      <c r="B675" s="70" t="s">
        <v>427</v>
      </c>
      <c r="C675" s="72"/>
      <c r="D675" s="73"/>
      <c r="E675" s="70">
        <v>2.94</v>
      </c>
      <c r="F675" s="72">
        <v>2693.06</v>
      </c>
      <c r="G675" s="74">
        <f t="shared" si="79"/>
        <v>7913071.7899999935</v>
      </c>
      <c r="H675" s="75" t="s">
        <v>13</v>
      </c>
      <c r="I675" s="412" t="s">
        <v>127</v>
      </c>
      <c r="J675" s="516" t="s">
        <v>738</v>
      </c>
      <c r="K675" s="412" t="s">
        <v>127</v>
      </c>
      <c r="L675" s="15"/>
      <c r="M675" t="str">
        <f t="shared" si="76"/>
        <v/>
      </c>
      <c r="N675" t="str">
        <f t="shared" si="75"/>
        <v/>
      </c>
    </row>
    <row r="676" spans="1:14" ht="15" thickBot="1">
      <c r="A676" s="408">
        <v>46258</v>
      </c>
      <c r="B676" s="363" t="s">
        <v>309</v>
      </c>
      <c r="C676" s="24">
        <v>0.13</v>
      </c>
      <c r="D676" s="235">
        <v>121.18</v>
      </c>
      <c r="E676" s="234"/>
      <c r="F676" s="234"/>
      <c r="G676" s="153">
        <f>G675-D676</f>
        <v>7912950.6099999938</v>
      </c>
      <c r="H676" s="406" t="s">
        <v>25</v>
      </c>
      <c r="I676" s="412" t="s">
        <v>116</v>
      </c>
      <c r="J676" s="412" t="s">
        <v>117</v>
      </c>
      <c r="K676" s="15"/>
      <c r="L676" s="412" t="s">
        <v>437</v>
      </c>
      <c r="M676" t="str">
        <f t="shared" si="76"/>
        <v/>
      </c>
      <c r="N676" t="str">
        <f t="shared" si="75"/>
        <v/>
      </c>
    </row>
    <row r="677" spans="1:14" ht="15" thickBot="1">
      <c r="A677" s="408">
        <v>46258</v>
      </c>
      <c r="B677" s="363" t="s">
        <v>309</v>
      </c>
      <c r="C677" s="24">
        <v>0.04</v>
      </c>
      <c r="D677" s="235">
        <v>40.39</v>
      </c>
      <c r="E677" s="234"/>
      <c r="F677" s="234"/>
      <c r="G677" s="153">
        <f t="shared" ref="G677:G686" si="80">G676-D677</f>
        <v>7912910.2199999942</v>
      </c>
      <c r="H677" s="406" t="s">
        <v>25</v>
      </c>
      <c r="I677" s="412" t="s">
        <v>116</v>
      </c>
      <c r="J677" s="412" t="s">
        <v>117</v>
      </c>
      <c r="K677" s="15"/>
      <c r="L677" s="412" t="s">
        <v>437</v>
      </c>
      <c r="M677" t="str">
        <f t="shared" si="76"/>
        <v/>
      </c>
      <c r="N677" t="str">
        <f t="shared" si="75"/>
        <v/>
      </c>
    </row>
    <row r="678" spans="1:14" ht="15" thickBot="1">
      <c r="A678" s="408">
        <v>46258</v>
      </c>
      <c r="B678" s="363" t="s">
        <v>309</v>
      </c>
      <c r="C678" s="24">
        <v>0.04</v>
      </c>
      <c r="D678" s="235">
        <v>40.39</v>
      </c>
      <c r="E678" s="234"/>
      <c r="F678" s="234"/>
      <c r="G678" s="153">
        <f t="shared" si="80"/>
        <v>7912869.8299999945</v>
      </c>
      <c r="H678" s="406" t="s">
        <v>25</v>
      </c>
      <c r="I678" s="412" t="s">
        <v>116</v>
      </c>
      <c r="J678" s="412" t="s">
        <v>117</v>
      </c>
      <c r="K678" s="15"/>
      <c r="L678" s="412" t="s">
        <v>437</v>
      </c>
      <c r="M678" t="str">
        <f t="shared" si="76"/>
        <v/>
      </c>
      <c r="N678" t="str">
        <f t="shared" si="75"/>
        <v/>
      </c>
    </row>
    <row r="679" spans="1:14" ht="15" thickBot="1">
      <c r="A679" s="408">
        <v>46258</v>
      </c>
      <c r="B679" s="407" t="s">
        <v>428</v>
      </c>
      <c r="C679" s="24">
        <v>6.36</v>
      </c>
      <c r="D679" s="235">
        <v>5822.18</v>
      </c>
      <c r="E679" s="234"/>
      <c r="F679" s="234"/>
      <c r="G679" s="153">
        <f t="shared" si="80"/>
        <v>7907047.6499999948</v>
      </c>
      <c r="H679" s="406" t="s">
        <v>13</v>
      </c>
      <c r="I679" s="412" t="s">
        <v>116</v>
      </c>
      <c r="J679" s="412" t="s">
        <v>117</v>
      </c>
      <c r="K679" s="15"/>
      <c r="L679" s="412" t="s">
        <v>437</v>
      </c>
      <c r="M679" t="str">
        <f t="shared" si="76"/>
        <v/>
      </c>
      <c r="N679" t="str">
        <f t="shared" si="75"/>
        <v/>
      </c>
    </row>
    <row r="680" spans="1:14" ht="15" thickBot="1">
      <c r="A680" s="408">
        <v>46258</v>
      </c>
      <c r="B680" s="407" t="s">
        <v>31</v>
      </c>
      <c r="C680" s="24">
        <v>0.01</v>
      </c>
      <c r="D680" s="235">
        <v>10.93</v>
      </c>
      <c r="E680" s="234"/>
      <c r="F680" s="234"/>
      <c r="G680" s="153">
        <f t="shared" si="80"/>
        <v>7907036.7199999951</v>
      </c>
      <c r="H680" s="406" t="s">
        <v>25</v>
      </c>
      <c r="I680" s="412" t="s">
        <v>116</v>
      </c>
      <c r="J680" s="412" t="s">
        <v>117</v>
      </c>
      <c r="K680" s="15"/>
      <c r="L680" s="412" t="s">
        <v>437</v>
      </c>
      <c r="M680" t="str">
        <f t="shared" si="76"/>
        <v/>
      </c>
      <c r="N680" t="str">
        <f t="shared" si="75"/>
        <v/>
      </c>
    </row>
    <row r="681" spans="1:14" ht="29.5" thickBot="1">
      <c r="A681" s="408">
        <v>46258</v>
      </c>
      <c r="B681" s="410" t="s">
        <v>429</v>
      </c>
      <c r="C681" s="24">
        <v>1179.28</v>
      </c>
      <c r="D681" s="235">
        <v>1080250</v>
      </c>
      <c r="E681" s="234"/>
      <c r="F681" s="234"/>
      <c r="G681" s="153">
        <f t="shared" si="80"/>
        <v>6826786.7199999951</v>
      </c>
      <c r="H681" s="411" t="s">
        <v>10</v>
      </c>
      <c r="I681" s="412" t="s">
        <v>116</v>
      </c>
      <c r="J681" s="412" t="s">
        <v>391</v>
      </c>
      <c r="K681" s="15"/>
      <c r="L681" s="412" t="s">
        <v>437</v>
      </c>
      <c r="M681" t="str">
        <f t="shared" si="76"/>
        <v/>
      </c>
      <c r="N681" t="str">
        <f t="shared" si="75"/>
        <v/>
      </c>
    </row>
    <row r="682" spans="1:14" ht="15" thickBot="1">
      <c r="A682" s="408">
        <v>46258</v>
      </c>
      <c r="B682" s="407" t="s">
        <v>31</v>
      </c>
      <c r="C682" s="24">
        <v>3.54</v>
      </c>
      <c r="D682" s="235">
        <v>3240.75</v>
      </c>
      <c r="E682" s="234"/>
      <c r="F682" s="234"/>
      <c r="G682" s="153">
        <f t="shared" si="80"/>
        <v>6823545.9699999951</v>
      </c>
      <c r="H682" s="411" t="s">
        <v>25</v>
      </c>
      <c r="I682" s="412" t="s">
        <v>116</v>
      </c>
      <c r="J682" s="412" t="s">
        <v>117</v>
      </c>
      <c r="K682" s="15"/>
      <c r="L682" s="412" t="s">
        <v>437</v>
      </c>
      <c r="M682" t="str">
        <f t="shared" si="76"/>
        <v/>
      </c>
      <c r="N682" t="str">
        <f t="shared" si="75"/>
        <v/>
      </c>
    </row>
    <row r="683" spans="1:14" ht="29.5" thickBot="1">
      <c r="A683" s="408">
        <v>46258</v>
      </c>
      <c r="B683" s="410" t="s">
        <v>430</v>
      </c>
      <c r="C683" s="24">
        <v>2075.64</v>
      </c>
      <c r="D683" s="235">
        <v>1901341.18</v>
      </c>
      <c r="E683" s="234"/>
      <c r="F683" s="234"/>
      <c r="G683" s="153">
        <f t="shared" si="80"/>
        <v>4922204.7899999954</v>
      </c>
      <c r="H683" s="411" t="s">
        <v>10</v>
      </c>
      <c r="I683" s="412" t="s">
        <v>119</v>
      </c>
      <c r="J683" s="416" t="s">
        <v>446</v>
      </c>
      <c r="K683" s="15"/>
      <c r="L683" s="412" t="s">
        <v>437</v>
      </c>
      <c r="M683" t="str">
        <f t="shared" si="76"/>
        <v/>
      </c>
      <c r="N683" t="str">
        <f t="shared" si="75"/>
        <v/>
      </c>
    </row>
    <row r="684" spans="1:14" ht="15" thickBot="1">
      <c r="A684" s="408">
        <v>46258</v>
      </c>
      <c r="B684" s="407" t="s">
        <v>31</v>
      </c>
      <c r="C684" s="24">
        <v>6.23</v>
      </c>
      <c r="D684" s="235">
        <v>5704.02</v>
      </c>
      <c r="E684" s="234"/>
      <c r="F684" s="234"/>
      <c r="G684" s="153">
        <f t="shared" si="80"/>
        <v>4916500.7699999958</v>
      </c>
      <c r="H684" s="411" t="s">
        <v>25</v>
      </c>
      <c r="I684" s="412" t="s">
        <v>116</v>
      </c>
      <c r="J684" s="412" t="s">
        <v>117</v>
      </c>
      <c r="K684" s="15"/>
      <c r="L684" s="412" t="s">
        <v>437</v>
      </c>
      <c r="M684" t="str">
        <f t="shared" si="76"/>
        <v/>
      </c>
      <c r="N684" t="str">
        <f t="shared" si="75"/>
        <v/>
      </c>
    </row>
    <row r="685" spans="1:14" ht="15" thickBot="1">
      <c r="A685" s="408">
        <v>46258</v>
      </c>
      <c r="B685" s="409" t="s">
        <v>431</v>
      </c>
      <c r="C685" s="24">
        <v>342.64</v>
      </c>
      <c r="D685" s="235">
        <v>313865.32</v>
      </c>
      <c r="E685" s="234"/>
      <c r="F685" s="234"/>
      <c r="G685" s="153">
        <f t="shared" si="80"/>
        <v>4602635.4499999955</v>
      </c>
      <c r="H685" s="411" t="s">
        <v>10</v>
      </c>
      <c r="I685" s="412" t="s">
        <v>119</v>
      </c>
      <c r="J685" s="416" t="s">
        <v>447</v>
      </c>
      <c r="K685" s="15"/>
      <c r="L685" s="412" t="s">
        <v>437</v>
      </c>
      <c r="M685" t="str">
        <f t="shared" si="76"/>
        <v/>
      </c>
      <c r="N685" t="str">
        <f t="shared" si="75"/>
        <v/>
      </c>
    </row>
    <row r="686" spans="1:14" ht="15" thickBot="1">
      <c r="A686" s="408">
        <v>46258</v>
      </c>
      <c r="B686" s="407" t="s">
        <v>31</v>
      </c>
      <c r="C686" s="24">
        <v>1.03</v>
      </c>
      <c r="D686" s="235">
        <v>941.59</v>
      </c>
      <c r="E686" s="234"/>
      <c r="F686" s="234"/>
      <c r="G686" s="153">
        <f t="shared" si="80"/>
        <v>4601693.8599999957</v>
      </c>
      <c r="H686" s="411" t="s">
        <v>25</v>
      </c>
      <c r="I686" s="412" t="s">
        <v>116</v>
      </c>
      <c r="J686" s="412" t="s">
        <v>117</v>
      </c>
      <c r="K686" s="15"/>
      <c r="L686" s="412" t="s">
        <v>437</v>
      </c>
      <c r="M686" t="str">
        <f t="shared" si="76"/>
        <v/>
      </c>
      <c r="N686" t="str">
        <f t="shared" si="75"/>
        <v/>
      </c>
    </row>
    <row r="687" spans="1:14" ht="15" thickBot="1">
      <c r="A687" s="69">
        <v>46259</v>
      </c>
      <c r="B687" s="70" t="s">
        <v>352</v>
      </c>
      <c r="C687" s="72"/>
      <c r="D687" s="73"/>
      <c r="E687" s="381">
        <v>4725.24</v>
      </c>
      <c r="F687" s="72">
        <v>4328444.51</v>
      </c>
      <c r="G687" s="74">
        <f>G686+F687</f>
        <v>8930138.3699999955</v>
      </c>
      <c r="H687" s="75" t="s">
        <v>10</v>
      </c>
      <c r="I687" s="412" t="s">
        <v>127</v>
      </c>
      <c r="J687" s="519" t="s">
        <v>737</v>
      </c>
      <c r="K687" s="412" t="s">
        <v>127</v>
      </c>
      <c r="L687" s="15"/>
      <c r="M687" t="str">
        <f t="shared" si="76"/>
        <v/>
      </c>
      <c r="N687" t="str">
        <f t="shared" si="75"/>
        <v/>
      </c>
    </row>
    <row r="688" spans="1:14" ht="15" thickBot="1">
      <c r="A688" s="69">
        <v>46259</v>
      </c>
      <c r="B688" s="70" t="s">
        <v>425</v>
      </c>
      <c r="C688" s="72"/>
      <c r="D688" s="73"/>
      <c r="E688" s="70">
        <v>23.2</v>
      </c>
      <c r="F688" s="72">
        <v>21250.49</v>
      </c>
      <c r="G688" s="74">
        <f t="shared" ref="G688:G689" si="81">G687+F688</f>
        <v>8951388.8599999957</v>
      </c>
      <c r="H688" s="75" t="s">
        <v>13</v>
      </c>
      <c r="I688" s="412" t="s">
        <v>127</v>
      </c>
      <c r="J688" s="519" t="s">
        <v>738</v>
      </c>
      <c r="K688" s="412" t="s">
        <v>127</v>
      </c>
      <c r="L688" s="15"/>
      <c r="M688" t="str">
        <f t="shared" si="76"/>
        <v/>
      </c>
      <c r="N688" t="str">
        <f t="shared" si="75"/>
        <v/>
      </c>
    </row>
    <row r="689" spans="1:14" ht="15" thickBot="1">
      <c r="A689" s="69">
        <v>46259</v>
      </c>
      <c r="B689" s="70" t="s">
        <v>432</v>
      </c>
      <c r="C689" s="72"/>
      <c r="D689" s="73"/>
      <c r="E689" s="70">
        <v>15.49</v>
      </c>
      <c r="F689" s="72">
        <v>14188.53</v>
      </c>
      <c r="G689" s="74">
        <f t="shared" si="81"/>
        <v>8965577.389999995</v>
      </c>
      <c r="H689" s="75" t="s">
        <v>13</v>
      </c>
      <c r="I689" s="412" t="s">
        <v>127</v>
      </c>
      <c r="J689" s="519" t="s">
        <v>738</v>
      </c>
      <c r="K689" s="412" t="s">
        <v>127</v>
      </c>
      <c r="L689" s="15"/>
      <c r="M689" t="str">
        <f t="shared" si="76"/>
        <v/>
      </c>
      <c r="N689" t="str">
        <f t="shared" si="75"/>
        <v/>
      </c>
    </row>
    <row r="690" spans="1:14" ht="15" thickBot="1">
      <c r="A690" s="231">
        <v>46259</v>
      </c>
      <c r="B690" s="363" t="s">
        <v>309</v>
      </c>
      <c r="C690" s="24">
        <v>0.35</v>
      </c>
      <c r="D690" s="235">
        <v>318.75</v>
      </c>
      <c r="E690" s="234"/>
      <c r="F690" s="234"/>
      <c r="G690" s="153">
        <f t="shared" ref="G690:G697" si="82">G689-D690</f>
        <v>8965258.639999995</v>
      </c>
      <c r="H690" s="411" t="s">
        <v>25</v>
      </c>
      <c r="I690" s="412" t="s">
        <v>116</v>
      </c>
      <c r="J690" s="412" t="s">
        <v>117</v>
      </c>
      <c r="L690" s="412" t="s">
        <v>437</v>
      </c>
      <c r="M690" t="str">
        <f t="shared" si="76"/>
        <v/>
      </c>
      <c r="N690" t="str">
        <f t="shared" si="75"/>
        <v/>
      </c>
    </row>
    <row r="691" spans="1:14" ht="15" thickBot="1">
      <c r="A691" s="231">
        <v>46259</v>
      </c>
      <c r="B691" s="363" t="s">
        <v>309</v>
      </c>
      <c r="C691" s="24">
        <v>0.23</v>
      </c>
      <c r="D691" s="235">
        <v>212.82</v>
      </c>
      <c r="E691" s="234"/>
      <c r="F691" s="234"/>
      <c r="G691" s="153">
        <f t="shared" si="82"/>
        <v>8965045.8199999947</v>
      </c>
      <c r="H691" s="411" t="s">
        <v>25</v>
      </c>
      <c r="I691" s="412" t="s">
        <v>116</v>
      </c>
      <c r="J691" s="412" t="s">
        <v>117</v>
      </c>
      <c r="K691" s="15"/>
      <c r="L691" s="412" t="s">
        <v>437</v>
      </c>
      <c r="M691" t="str">
        <f t="shared" si="76"/>
        <v/>
      </c>
      <c r="N691" t="str">
        <f t="shared" si="75"/>
        <v/>
      </c>
    </row>
    <row r="692" spans="1:14" ht="29.5" thickBot="1">
      <c r="A692" s="231">
        <v>46259</v>
      </c>
      <c r="B692" s="410" t="s">
        <v>433</v>
      </c>
      <c r="C692" s="24">
        <v>51.42</v>
      </c>
      <c r="D692" s="235">
        <v>47104.160000000003</v>
      </c>
      <c r="E692" s="234"/>
      <c r="F692" s="234"/>
      <c r="G692" s="153">
        <f t="shared" si="82"/>
        <v>8917941.6599999946</v>
      </c>
      <c r="H692" s="411" t="s">
        <v>10</v>
      </c>
      <c r="I692" s="412" t="s">
        <v>116</v>
      </c>
      <c r="J692" s="412" t="s">
        <v>269</v>
      </c>
      <c r="K692" s="15"/>
      <c r="L692" s="412" t="s">
        <v>437</v>
      </c>
      <c r="M692" t="str">
        <f t="shared" si="76"/>
        <v/>
      </c>
      <c r="N692" t="str">
        <f t="shared" si="75"/>
        <v/>
      </c>
    </row>
    <row r="693" spans="1:14" ht="29.5" thickBot="1">
      <c r="A693" s="231">
        <v>46259</v>
      </c>
      <c r="B693" s="410" t="s">
        <v>434</v>
      </c>
      <c r="C693" s="24">
        <v>74.66</v>
      </c>
      <c r="D693" s="235">
        <v>68387.39</v>
      </c>
      <c r="E693" s="234"/>
      <c r="F693" s="234"/>
      <c r="G693" s="153">
        <f t="shared" si="82"/>
        <v>8849554.269999994</v>
      </c>
      <c r="H693" s="411" t="s">
        <v>10</v>
      </c>
      <c r="I693" s="412" t="s">
        <v>119</v>
      </c>
      <c r="J693" s="416" t="s">
        <v>443</v>
      </c>
      <c r="K693" s="15"/>
      <c r="L693" s="412" t="s">
        <v>437</v>
      </c>
      <c r="M693" t="str">
        <f t="shared" si="76"/>
        <v/>
      </c>
      <c r="N693" t="str">
        <f t="shared" si="75"/>
        <v/>
      </c>
    </row>
    <row r="694" spans="1:14" ht="15" thickBot="1">
      <c r="A694" s="231">
        <v>46259</v>
      </c>
      <c r="B694" s="409" t="s">
        <v>31</v>
      </c>
      <c r="C694" s="24">
        <v>0.22</v>
      </c>
      <c r="D694" s="235">
        <v>205.16</v>
      </c>
      <c r="E694" s="234"/>
      <c r="F694" s="234"/>
      <c r="G694" s="153">
        <f t="shared" si="82"/>
        <v>8849349.1099999938</v>
      </c>
      <c r="H694" s="411" t="s">
        <v>25</v>
      </c>
      <c r="I694" s="412" t="s">
        <v>116</v>
      </c>
      <c r="J694" s="412" t="s">
        <v>117</v>
      </c>
      <c r="K694" s="15"/>
      <c r="L694" s="412" t="s">
        <v>437</v>
      </c>
      <c r="M694" t="str">
        <f t="shared" si="76"/>
        <v/>
      </c>
      <c r="N694" t="str">
        <f t="shared" si="75"/>
        <v/>
      </c>
    </row>
    <row r="695" spans="1:14" ht="15" thickBot="1">
      <c r="A695" s="231">
        <v>46259</v>
      </c>
      <c r="B695" s="410" t="s">
        <v>435</v>
      </c>
      <c r="C695" s="24">
        <v>85.7</v>
      </c>
      <c r="D695" s="235">
        <v>78506.929999999993</v>
      </c>
      <c r="E695" s="234"/>
      <c r="F695" s="234"/>
      <c r="G695" s="153">
        <f t="shared" si="82"/>
        <v>8770842.1799999941</v>
      </c>
      <c r="H695" s="411" t="s">
        <v>10</v>
      </c>
      <c r="I695" s="412" t="s">
        <v>119</v>
      </c>
      <c r="J695" s="416" t="s">
        <v>447</v>
      </c>
      <c r="K695" s="15"/>
      <c r="L695" s="412" t="s">
        <v>437</v>
      </c>
      <c r="M695" t="str">
        <f t="shared" si="76"/>
        <v/>
      </c>
      <c r="N695" t="str">
        <f t="shared" si="75"/>
        <v/>
      </c>
    </row>
    <row r="696" spans="1:14" ht="15" thickBot="1">
      <c r="A696" s="231">
        <v>46259</v>
      </c>
      <c r="B696" s="409" t="s">
        <v>31</v>
      </c>
      <c r="C696" s="24">
        <v>0.26</v>
      </c>
      <c r="D696" s="235">
        <v>235.52</v>
      </c>
      <c r="E696" s="234"/>
      <c r="F696" s="234"/>
      <c r="G696" s="153">
        <f t="shared" si="82"/>
        <v>8770606.6599999946</v>
      </c>
      <c r="H696" s="411" t="s">
        <v>25</v>
      </c>
      <c r="I696" s="412" t="s">
        <v>116</v>
      </c>
      <c r="J696" s="412" t="s">
        <v>117</v>
      </c>
      <c r="K696" s="15"/>
      <c r="L696" s="412" t="s">
        <v>437</v>
      </c>
      <c r="M696" t="str">
        <f t="shared" si="76"/>
        <v/>
      </c>
      <c r="N696" t="str">
        <f t="shared" si="75"/>
        <v/>
      </c>
    </row>
    <row r="697" spans="1:14" ht="29.5" thickBot="1">
      <c r="A697" s="231">
        <v>46259</v>
      </c>
      <c r="B697" s="410" t="s">
        <v>436</v>
      </c>
      <c r="C697" s="24">
        <v>17.14</v>
      </c>
      <c r="D697" s="235">
        <v>15701.39</v>
      </c>
      <c r="E697" s="234"/>
      <c r="F697" s="234"/>
      <c r="G697" s="153">
        <f t="shared" si="82"/>
        <v>8754905.269999994</v>
      </c>
      <c r="H697" s="411" t="s">
        <v>10</v>
      </c>
      <c r="I697" s="412" t="s">
        <v>119</v>
      </c>
      <c r="J697" s="416" t="s">
        <v>443</v>
      </c>
      <c r="K697" s="15"/>
      <c r="L697" s="412" t="s">
        <v>437</v>
      </c>
      <c r="M697" t="str">
        <f t="shared" si="76"/>
        <v/>
      </c>
      <c r="N697" t="str">
        <f t="shared" si="75"/>
        <v/>
      </c>
    </row>
    <row r="698" spans="1:14" ht="15" thickBot="1">
      <c r="A698" s="231">
        <v>46259</v>
      </c>
      <c r="B698" s="407" t="s">
        <v>31</v>
      </c>
      <c r="C698" s="24">
        <v>0.05</v>
      </c>
      <c r="D698" s="235">
        <v>47.1</v>
      </c>
      <c r="E698" s="234"/>
      <c r="F698" s="234"/>
      <c r="G698" s="153">
        <f>G697-D698</f>
        <v>8754858.1699999943</v>
      </c>
      <c r="H698" s="411" t="s">
        <v>25</v>
      </c>
      <c r="I698" s="412" t="s">
        <v>116</v>
      </c>
      <c r="J698" s="412" t="s">
        <v>117</v>
      </c>
      <c r="K698" s="14"/>
      <c r="L698" s="412" t="s">
        <v>437</v>
      </c>
      <c r="M698" t="str">
        <f t="shared" si="76"/>
        <v/>
      </c>
      <c r="N698" t="str">
        <f t="shared" si="75"/>
        <v/>
      </c>
    </row>
    <row r="699" spans="1:14" ht="15" thickBot="1">
      <c r="A699" s="69">
        <v>46259</v>
      </c>
      <c r="B699" s="378" t="s">
        <v>534</v>
      </c>
      <c r="C699" s="72"/>
      <c r="D699" s="73"/>
      <c r="E699" s="70">
        <v>76.239999999999995</v>
      </c>
      <c r="F699" s="72">
        <v>70076.039999999994</v>
      </c>
      <c r="G699" s="74">
        <f>G698+F699</f>
        <v>8824934.2099999934</v>
      </c>
      <c r="H699" s="75" t="s">
        <v>10</v>
      </c>
      <c r="I699" s="500" t="s">
        <v>127</v>
      </c>
      <c r="J699" s="519" t="s">
        <v>740</v>
      </c>
      <c r="K699" s="502" t="s">
        <v>127</v>
      </c>
      <c r="L699" s="15"/>
      <c r="M699" t="str">
        <f t="shared" si="76"/>
        <v/>
      </c>
      <c r="N699" t="str">
        <f t="shared" si="75"/>
        <v/>
      </c>
    </row>
    <row r="700" spans="1:14" ht="29.5" thickBot="1">
      <c r="A700" s="231">
        <v>46259</v>
      </c>
      <c r="B700" s="449" t="s">
        <v>535</v>
      </c>
      <c r="C700" s="24">
        <v>683.3</v>
      </c>
      <c r="D700" s="235">
        <v>628055.43999999994</v>
      </c>
      <c r="E700" s="234"/>
      <c r="F700" s="234"/>
      <c r="G700" s="153">
        <f>G699-D700</f>
        <v>8196878.769999994</v>
      </c>
      <c r="H700" s="413" t="s">
        <v>10</v>
      </c>
      <c r="I700" s="412" t="s">
        <v>119</v>
      </c>
      <c r="J700" s="501" t="s">
        <v>446</v>
      </c>
      <c r="K700" s="14"/>
      <c r="L700" s="501" t="s">
        <v>437</v>
      </c>
      <c r="M700" t="str">
        <f t="shared" si="76"/>
        <v/>
      </c>
      <c r="N700" t="str">
        <f t="shared" si="75"/>
        <v/>
      </c>
    </row>
    <row r="701" spans="1:14" ht="15" thickBot="1">
      <c r="A701" s="231">
        <v>46259</v>
      </c>
      <c r="B701" s="407" t="s">
        <v>31</v>
      </c>
      <c r="C701" s="24">
        <v>2.39</v>
      </c>
      <c r="D701" s="235">
        <v>1884.16</v>
      </c>
      <c r="E701" s="234"/>
      <c r="F701" s="234"/>
      <c r="G701" s="153">
        <f>G700-D701</f>
        <v>8194994.6099999938</v>
      </c>
      <c r="H701" s="411" t="s">
        <v>25</v>
      </c>
      <c r="I701" s="412" t="s">
        <v>116</v>
      </c>
      <c r="J701" s="412" t="s">
        <v>117</v>
      </c>
      <c r="K701" s="14"/>
      <c r="L701" s="412" t="s">
        <v>437</v>
      </c>
      <c r="M701" t="str">
        <f t="shared" si="76"/>
        <v/>
      </c>
      <c r="N701" t="str">
        <f t="shared" si="75"/>
        <v/>
      </c>
    </row>
    <row r="702" spans="1:14" ht="15" thickBot="1">
      <c r="A702" s="69">
        <v>46260</v>
      </c>
      <c r="B702" s="70" t="s">
        <v>439</v>
      </c>
      <c r="C702" s="72"/>
      <c r="D702" s="73"/>
      <c r="E702" s="70">
        <v>46.88</v>
      </c>
      <c r="F702" s="72">
        <v>43089.61</v>
      </c>
      <c r="G702" s="74">
        <f>G701+F702</f>
        <v>8238084.2199999942</v>
      </c>
      <c r="H702" s="75" t="s">
        <v>13</v>
      </c>
      <c r="I702" s="412" t="s">
        <v>127</v>
      </c>
      <c r="J702" s="519" t="s">
        <v>738</v>
      </c>
      <c r="K702" s="502" t="s">
        <v>127</v>
      </c>
      <c r="L702" s="15"/>
      <c r="M702" t="str">
        <f t="shared" si="76"/>
        <v/>
      </c>
      <c r="N702" t="str">
        <f t="shared" si="75"/>
        <v/>
      </c>
    </row>
    <row r="703" spans="1:14" ht="15" thickBot="1">
      <c r="A703" s="69">
        <v>46260</v>
      </c>
      <c r="B703" s="70" t="s">
        <v>427</v>
      </c>
      <c r="C703" s="72"/>
      <c r="D703" s="73"/>
      <c r="E703" s="70">
        <v>11.72</v>
      </c>
      <c r="F703" s="72">
        <v>10772.48</v>
      </c>
      <c r="G703" s="74">
        <f>G702+F703</f>
        <v>8248856.6999999946</v>
      </c>
      <c r="H703" s="75" t="s">
        <v>13</v>
      </c>
      <c r="I703" s="412" t="s">
        <v>127</v>
      </c>
      <c r="J703" s="519" t="s">
        <v>738</v>
      </c>
      <c r="K703" s="502" t="s">
        <v>127</v>
      </c>
      <c r="L703" s="15"/>
      <c r="M703" t="str">
        <f t="shared" si="76"/>
        <v/>
      </c>
      <c r="N703" t="str">
        <f t="shared" si="75"/>
        <v/>
      </c>
    </row>
    <row r="704" spans="1:14" ht="15" thickBot="1">
      <c r="A704" s="231">
        <v>46260</v>
      </c>
      <c r="B704" s="363" t="s">
        <v>309</v>
      </c>
      <c r="C704" s="24">
        <v>0.7</v>
      </c>
      <c r="D704" s="235">
        <v>646.34</v>
      </c>
      <c r="E704" s="234"/>
      <c r="F704" s="234"/>
      <c r="G704" s="153">
        <f t="shared" ref="G704:G709" si="83">G703-D704</f>
        <v>8248210.3599999947</v>
      </c>
      <c r="H704" s="413" t="s">
        <v>25</v>
      </c>
      <c r="I704" s="412" t="s">
        <v>116</v>
      </c>
      <c r="J704" s="412" t="s">
        <v>117</v>
      </c>
      <c r="K704" s="14"/>
      <c r="L704" s="412" t="s">
        <v>437</v>
      </c>
      <c r="M704" t="str">
        <f t="shared" si="76"/>
        <v/>
      </c>
      <c r="N704" t="str">
        <f t="shared" si="75"/>
        <v/>
      </c>
    </row>
    <row r="705" spans="1:14" ht="15" thickBot="1">
      <c r="A705" s="231">
        <v>46260</v>
      </c>
      <c r="B705" s="363" t="s">
        <v>309</v>
      </c>
      <c r="C705" s="24">
        <v>0.18</v>
      </c>
      <c r="D705" s="235">
        <v>161.58000000000001</v>
      </c>
      <c r="E705" s="234"/>
      <c r="F705" s="234"/>
      <c r="G705" s="153">
        <f t="shared" si="83"/>
        <v>8248048.7799999947</v>
      </c>
      <c r="H705" s="413" t="s">
        <v>25</v>
      </c>
      <c r="I705" s="412" t="s">
        <v>116</v>
      </c>
      <c r="J705" s="412" t="s">
        <v>117</v>
      </c>
      <c r="K705" s="14"/>
      <c r="L705" s="412" t="s">
        <v>437</v>
      </c>
      <c r="M705" t="str">
        <f t="shared" si="76"/>
        <v/>
      </c>
      <c r="N705" t="str">
        <f t="shared" si="75"/>
        <v/>
      </c>
    </row>
    <row r="706" spans="1:14" ht="29.5" thickBot="1">
      <c r="A706" s="231">
        <v>46260</v>
      </c>
      <c r="B706" s="449" t="s">
        <v>536</v>
      </c>
      <c r="C706" s="24">
        <v>25.7</v>
      </c>
      <c r="D706" s="235">
        <v>23625.59</v>
      </c>
      <c r="E706" s="234"/>
      <c r="F706" s="234"/>
      <c r="G706" s="153">
        <f t="shared" si="83"/>
        <v>8224423.1899999948</v>
      </c>
      <c r="H706" s="413" t="s">
        <v>10</v>
      </c>
      <c r="I706" s="412" t="s">
        <v>119</v>
      </c>
      <c r="J706" s="416" t="s">
        <v>443</v>
      </c>
      <c r="K706" s="14"/>
      <c r="L706" s="501" t="s">
        <v>437</v>
      </c>
      <c r="M706" t="str">
        <f t="shared" si="76"/>
        <v/>
      </c>
      <c r="N706" t="str">
        <f t="shared" si="75"/>
        <v/>
      </c>
    </row>
    <row r="707" spans="1:14" ht="15" thickBot="1">
      <c r="A707" s="231">
        <v>46260</v>
      </c>
      <c r="B707" s="409" t="s">
        <v>31</v>
      </c>
      <c r="C707" s="24">
        <v>0.08</v>
      </c>
      <c r="D707" s="235">
        <v>70.87</v>
      </c>
      <c r="E707" s="234"/>
      <c r="F707" s="234"/>
      <c r="G707" s="153">
        <f t="shared" si="83"/>
        <v>8224352.3199999947</v>
      </c>
      <c r="H707" s="413" t="s">
        <v>25</v>
      </c>
      <c r="I707" s="412" t="s">
        <v>116</v>
      </c>
      <c r="J707" s="412" t="s">
        <v>117</v>
      </c>
      <c r="K707" s="14"/>
      <c r="L707" s="501" t="s">
        <v>437</v>
      </c>
      <c r="M707" t="str">
        <f t="shared" si="76"/>
        <v/>
      </c>
      <c r="N707" t="str">
        <f t="shared" si="75"/>
        <v/>
      </c>
    </row>
    <row r="708" spans="1:14" ht="15" thickBot="1">
      <c r="A708" s="231">
        <v>46260</v>
      </c>
      <c r="B708" s="448" t="s">
        <v>537</v>
      </c>
      <c r="C708" s="24">
        <v>128.52000000000001</v>
      </c>
      <c r="D708" s="235">
        <v>118127.94</v>
      </c>
      <c r="E708" s="234"/>
      <c r="F708" s="234"/>
      <c r="G708" s="153">
        <f t="shared" si="83"/>
        <v>8106224.3799999943</v>
      </c>
      <c r="H708" s="413" t="s">
        <v>10</v>
      </c>
      <c r="I708" s="500" t="s">
        <v>119</v>
      </c>
      <c r="J708" s="501" t="s">
        <v>128</v>
      </c>
      <c r="K708" s="14"/>
      <c r="L708" s="501" t="s">
        <v>437</v>
      </c>
      <c r="M708" t="str">
        <f t="shared" si="76"/>
        <v/>
      </c>
      <c r="N708" t="str">
        <f t="shared" ref="N708:N771" si="84">IF(C708="","",IF(C708=D708,"OJOOO",""))</f>
        <v/>
      </c>
    </row>
    <row r="709" spans="1:14" ht="15" thickBot="1">
      <c r="A709" s="231">
        <v>46260</v>
      </c>
      <c r="B709" s="409" t="s">
        <v>31</v>
      </c>
      <c r="C709" s="24">
        <v>0.39</v>
      </c>
      <c r="D709" s="235">
        <v>354.38</v>
      </c>
      <c r="E709" s="234"/>
      <c r="F709" s="234"/>
      <c r="G709" s="153">
        <f t="shared" si="83"/>
        <v>8105869.9999999944</v>
      </c>
      <c r="H709" s="413" t="s">
        <v>25</v>
      </c>
      <c r="I709" s="412" t="s">
        <v>116</v>
      </c>
      <c r="J709" s="412" t="s">
        <v>117</v>
      </c>
      <c r="K709" s="14"/>
      <c r="L709" s="412" t="s">
        <v>437</v>
      </c>
      <c r="M709" t="str">
        <f t="shared" si="76"/>
        <v/>
      </c>
      <c r="N709" t="str">
        <f t="shared" si="84"/>
        <v/>
      </c>
    </row>
    <row r="710" spans="1:14" ht="15" thickBot="1">
      <c r="A710" s="69">
        <v>46261</v>
      </c>
      <c r="B710" s="70" t="s">
        <v>426</v>
      </c>
      <c r="C710" s="72"/>
      <c r="D710" s="73"/>
      <c r="E710" s="70">
        <v>29.32</v>
      </c>
      <c r="F710" s="72">
        <v>27023.11</v>
      </c>
      <c r="G710" s="74">
        <f>G709+F710</f>
        <v>8132893.1099999947</v>
      </c>
      <c r="H710" s="75" t="s">
        <v>13</v>
      </c>
      <c r="I710" s="412" t="s">
        <v>127</v>
      </c>
      <c r="J710" s="519" t="s">
        <v>738</v>
      </c>
      <c r="K710" s="502" t="s">
        <v>127</v>
      </c>
      <c r="L710" s="15"/>
      <c r="M710" t="str">
        <f t="shared" si="76"/>
        <v/>
      </c>
      <c r="N710" t="str">
        <f t="shared" si="84"/>
        <v/>
      </c>
    </row>
    <row r="711" spans="1:14" ht="15" thickBot="1">
      <c r="A711" s="69">
        <v>46261</v>
      </c>
      <c r="B711" s="70" t="s">
        <v>440</v>
      </c>
      <c r="C711" s="72"/>
      <c r="D711" s="73"/>
      <c r="E711" s="70">
        <v>26.37</v>
      </c>
      <c r="F711" s="72">
        <v>24311.57</v>
      </c>
      <c r="G711" s="74">
        <f>G710+F711</f>
        <v>8157204.679999995</v>
      </c>
      <c r="H711" s="75" t="s">
        <v>13</v>
      </c>
      <c r="I711" s="412" t="s">
        <v>127</v>
      </c>
      <c r="J711" s="519" t="s">
        <v>738</v>
      </c>
      <c r="K711" s="502" t="s">
        <v>127</v>
      </c>
      <c r="L711" s="15"/>
      <c r="M711" t="str">
        <f t="shared" si="76"/>
        <v/>
      </c>
      <c r="N711" t="str">
        <f t="shared" si="84"/>
        <v/>
      </c>
    </row>
    <row r="712" spans="1:14" ht="15" thickBot="1">
      <c r="A712" s="414">
        <v>46261</v>
      </c>
      <c r="B712" s="363" t="s">
        <v>309</v>
      </c>
      <c r="C712" s="24">
        <v>0.44</v>
      </c>
      <c r="D712" s="235">
        <v>405.34</v>
      </c>
      <c r="E712" s="234"/>
      <c r="F712" s="234"/>
      <c r="G712" s="153">
        <f>G711-D712</f>
        <v>8156799.3399999952</v>
      </c>
      <c r="H712" s="415" t="s">
        <v>25</v>
      </c>
      <c r="I712" s="412" t="s">
        <v>116</v>
      </c>
      <c r="J712" s="412" t="s">
        <v>117</v>
      </c>
      <c r="K712" s="14"/>
      <c r="L712" s="501" t="s">
        <v>437</v>
      </c>
      <c r="M712" t="str">
        <f t="shared" si="76"/>
        <v/>
      </c>
      <c r="N712" t="str">
        <f t="shared" si="84"/>
        <v/>
      </c>
    </row>
    <row r="713" spans="1:14" ht="15" thickBot="1">
      <c r="A713" s="414">
        <v>46261</v>
      </c>
      <c r="B713" s="363" t="s">
        <v>309</v>
      </c>
      <c r="C713" s="24">
        <v>0.4</v>
      </c>
      <c r="D713" s="235">
        <v>364.67</v>
      </c>
      <c r="E713" s="234"/>
      <c r="F713" s="234"/>
      <c r="G713" s="153">
        <f>G712-D713</f>
        <v>8156434.6699999953</v>
      </c>
      <c r="H713" s="415" t="s">
        <v>25</v>
      </c>
      <c r="I713" s="412" t="s">
        <v>116</v>
      </c>
      <c r="J713" s="412" t="s">
        <v>117</v>
      </c>
      <c r="K713" s="14"/>
      <c r="L713" s="412" t="s">
        <v>437</v>
      </c>
      <c r="M713" t="str">
        <f t="shared" si="76"/>
        <v/>
      </c>
      <c r="N713" t="str">
        <f t="shared" si="84"/>
        <v/>
      </c>
    </row>
    <row r="714" spans="1:14" ht="15" thickBot="1">
      <c r="A714" s="414">
        <v>46261</v>
      </c>
      <c r="B714" s="422" t="s">
        <v>450</v>
      </c>
      <c r="C714" s="24">
        <v>76.12</v>
      </c>
      <c r="D714" s="235">
        <v>70164.92</v>
      </c>
      <c r="E714" s="234"/>
      <c r="F714" s="234"/>
      <c r="G714" s="153">
        <f t="shared" ref="G714:G715" si="85">G713-D714</f>
        <v>8086269.7499999953</v>
      </c>
      <c r="H714" s="423" t="s">
        <v>13</v>
      </c>
      <c r="I714" s="500" t="s">
        <v>119</v>
      </c>
      <c r="J714" s="501" t="s">
        <v>128</v>
      </c>
      <c r="K714" s="14"/>
      <c r="L714" s="412" t="s">
        <v>437</v>
      </c>
      <c r="M714" t="str">
        <f t="shared" si="76"/>
        <v/>
      </c>
      <c r="N714" t="str">
        <f t="shared" si="84"/>
        <v/>
      </c>
    </row>
    <row r="715" spans="1:14" ht="29.5" thickBot="1">
      <c r="A715" s="414">
        <v>46261</v>
      </c>
      <c r="B715" s="422" t="s">
        <v>451</v>
      </c>
      <c r="C715" s="24">
        <v>11.85</v>
      </c>
      <c r="D715" s="235">
        <v>10928.12</v>
      </c>
      <c r="E715" s="234"/>
      <c r="F715" s="234"/>
      <c r="G715" s="153">
        <f t="shared" si="85"/>
        <v>8075341.6299999952</v>
      </c>
      <c r="H715" s="423" t="s">
        <v>13</v>
      </c>
      <c r="I715" s="500" t="s">
        <v>119</v>
      </c>
      <c r="J715" s="501" t="s">
        <v>128</v>
      </c>
      <c r="K715" s="14"/>
      <c r="L715" s="412" t="s">
        <v>437</v>
      </c>
      <c r="M715" t="str">
        <f t="shared" si="76"/>
        <v/>
      </c>
      <c r="N715" t="str">
        <f t="shared" si="84"/>
        <v/>
      </c>
    </row>
    <row r="716" spans="1:14" ht="15" thickBot="1">
      <c r="A716" s="69">
        <v>46261</v>
      </c>
      <c r="B716" s="70" t="s">
        <v>538</v>
      </c>
      <c r="C716" s="72"/>
      <c r="D716" s="73"/>
      <c r="E716" s="70">
        <v>127.5</v>
      </c>
      <c r="F716" s="72">
        <v>117530.77</v>
      </c>
      <c r="G716" s="74">
        <f>G715+F716</f>
        <v>8192872.3999999948</v>
      </c>
      <c r="H716" s="75" t="s">
        <v>13</v>
      </c>
      <c r="I716" s="500" t="s">
        <v>127</v>
      </c>
      <c r="J716" s="519" t="s">
        <v>740</v>
      </c>
      <c r="K716" s="502" t="s">
        <v>127</v>
      </c>
      <c r="L716" s="15"/>
      <c r="M716" t="str">
        <f t="shared" si="76"/>
        <v/>
      </c>
      <c r="N716" t="str">
        <f t="shared" si="84"/>
        <v/>
      </c>
    </row>
    <row r="717" spans="1:14" ht="29.5" thickBot="1">
      <c r="A717" s="414">
        <v>46261</v>
      </c>
      <c r="B717" s="422" t="s">
        <v>452</v>
      </c>
      <c r="C717" s="24">
        <v>76.22</v>
      </c>
      <c r="D717" s="235">
        <v>70261.899999999994</v>
      </c>
      <c r="E717" s="234"/>
      <c r="F717" s="234"/>
      <c r="G717" s="153">
        <f>G716-D717</f>
        <v>8122610.4999999944</v>
      </c>
      <c r="H717" s="423" t="s">
        <v>13</v>
      </c>
      <c r="I717" s="500" t="s">
        <v>119</v>
      </c>
      <c r="J717" s="501" t="s">
        <v>128</v>
      </c>
      <c r="K717" s="502"/>
      <c r="L717" s="501" t="s">
        <v>437</v>
      </c>
      <c r="M717" t="str">
        <f t="shared" si="76"/>
        <v/>
      </c>
      <c r="N717" t="str">
        <f t="shared" si="84"/>
        <v/>
      </c>
    </row>
    <row r="718" spans="1:14" ht="29.5" thickBot="1">
      <c r="A718" s="414">
        <v>46261</v>
      </c>
      <c r="B718" s="422" t="s">
        <v>453</v>
      </c>
      <c r="C718" s="24">
        <v>302.67</v>
      </c>
      <c r="D718" s="235">
        <v>279005.18</v>
      </c>
      <c r="E718" s="234"/>
      <c r="F718" s="234"/>
      <c r="G718" s="153">
        <f t="shared" ref="G718:G721" si="86">G717-D718</f>
        <v>7843605.3199999947</v>
      </c>
      <c r="H718" s="423" t="s">
        <v>13</v>
      </c>
      <c r="I718" s="500" t="s">
        <v>119</v>
      </c>
      <c r="J718" s="501" t="s">
        <v>128</v>
      </c>
      <c r="K718" s="502"/>
      <c r="L718" s="501" t="s">
        <v>437</v>
      </c>
      <c r="M718" t="str">
        <f t="shared" si="76"/>
        <v/>
      </c>
      <c r="N718" t="str">
        <f t="shared" si="84"/>
        <v/>
      </c>
    </row>
    <row r="719" spans="1:14" ht="15" thickBot="1">
      <c r="A719" s="414">
        <v>46261</v>
      </c>
      <c r="B719" s="421" t="s">
        <v>454</v>
      </c>
      <c r="C719" s="24">
        <v>6.87</v>
      </c>
      <c r="D719" s="235">
        <v>6330.56</v>
      </c>
      <c r="E719" s="234"/>
      <c r="F719" s="234"/>
      <c r="G719" s="153">
        <f t="shared" si="86"/>
        <v>7837274.7599999951</v>
      </c>
      <c r="H719" s="423" t="s">
        <v>13</v>
      </c>
      <c r="I719" s="500" t="s">
        <v>119</v>
      </c>
      <c r="J719" s="501" t="s">
        <v>128</v>
      </c>
      <c r="K719" s="502"/>
      <c r="L719" s="501" t="s">
        <v>437</v>
      </c>
      <c r="M719" t="str">
        <f t="shared" si="76"/>
        <v/>
      </c>
      <c r="N719" t="str">
        <f t="shared" si="84"/>
        <v/>
      </c>
    </row>
    <row r="720" spans="1:14" ht="15" thickBot="1">
      <c r="A720" s="414">
        <v>46261</v>
      </c>
      <c r="B720" s="421" t="s">
        <v>455</v>
      </c>
      <c r="C720" s="24">
        <v>9.7100000000000009</v>
      </c>
      <c r="D720" s="235">
        <v>8950</v>
      </c>
      <c r="E720" s="234"/>
      <c r="F720" s="234"/>
      <c r="G720" s="153">
        <f t="shared" si="86"/>
        <v>7828324.7599999951</v>
      </c>
      <c r="H720" s="423" t="s">
        <v>13</v>
      </c>
      <c r="I720" s="500" t="s">
        <v>119</v>
      </c>
      <c r="J720" s="501" t="s">
        <v>128</v>
      </c>
      <c r="K720" s="502"/>
      <c r="L720" s="501" t="s">
        <v>437</v>
      </c>
      <c r="M720" t="str">
        <f t="shared" si="76"/>
        <v/>
      </c>
      <c r="N720" t="str">
        <f t="shared" si="84"/>
        <v/>
      </c>
    </row>
    <row r="721" spans="1:14" ht="15" thickBot="1">
      <c r="A721" s="414">
        <v>46261</v>
      </c>
      <c r="B721" s="421" t="s">
        <v>456</v>
      </c>
      <c r="C721" s="24">
        <v>36.85</v>
      </c>
      <c r="D721" s="235">
        <v>33968.28</v>
      </c>
      <c r="E721" s="234"/>
      <c r="F721" s="234"/>
      <c r="G721" s="153">
        <f t="shared" si="86"/>
        <v>7794356.4799999949</v>
      </c>
      <c r="H721" s="423" t="s">
        <v>13</v>
      </c>
      <c r="I721" s="500" t="s">
        <v>119</v>
      </c>
      <c r="J721" s="501" t="s">
        <v>128</v>
      </c>
      <c r="K721" s="502"/>
      <c r="L721" s="501" t="s">
        <v>437</v>
      </c>
      <c r="M721" t="str">
        <f t="shared" si="76"/>
        <v/>
      </c>
      <c r="N721" t="str">
        <f t="shared" si="84"/>
        <v/>
      </c>
    </row>
    <row r="722" spans="1:14" ht="29.5" thickBot="1">
      <c r="A722" s="69">
        <v>46262</v>
      </c>
      <c r="B722" s="378" t="s">
        <v>539</v>
      </c>
      <c r="C722" s="72"/>
      <c r="D722" s="73"/>
      <c r="E722" s="72">
        <v>124.69</v>
      </c>
      <c r="F722" s="72">
        <v>114949.75999999999</v>
      </c>
      <c r="G722" s="74">
        <f>G721+F722</f>
        <v>7909306.2399999946</v>
      </c>
      <c r="H722" s="75" t="s">
        <v>13</v>
      </c>
      <c r="I722" s="500" t="s">
        <v>127</v>
      </c>
      <c r="J722" s="519" t="s">
        <v>742</v>
      </c>
      <c r="K722" s="502" t="s">
        <v>127</v>
      </c>
      <c r="L722" s="15"/>
      <c r="M722" t="str">
        <f t="shared" si="76"/>
        <v/>
      </c>
      <c r="N722" t="str">
        <f t="shared" si="84"/>
        <v/>
      </c>
    </row>
    <row r="723" spans="1:14" ht="15" thickBot="1">
      <c r="A723" s="69">
        <v>46262</v>
      </c>
      <c r="B723" s="70" t="s">
        <v>457</v>
      </c>
      <c r="C723" s="72"/>
      <c r="D723" s="73"/>
      <c r="E723" s="70">
        <v>17.64</v>
      </c>
      <c r="F723" s="72">
        <v>16260.79</v>
      </c>
      <c r="G723" s="74">
        <f>G722+F723</f>
        <v>7925567.0299999947</v>
      </c>
      <c r="H723" s="75" t="s">
        <v>13</v>
      </c>
      <c r="I723" s="500" t="s">
        <v>127</v>
      </c>
      <c r="J723" s="519" t="s">
        <v>738</v>
      </c>
      <c r="K723" s="502" t="s">
        <v>127</v>
      </c>
      <c r="L723" s="15"/>
      <c r="M723" t="str">
        <f t="shared" si="76"/>
        <v/>
      </c>
      <c r="N723" t="str">
        <f t="shared" si="84"/>
        <v/>
      </c>
    </row>
    <row r="724" spans="1:14" ht="15" thickBot="1">
      <c r="A724" s="69">
        <v>46262</v>
      </c>
      <c r="B724" s="70" t="s">
        <v>432</v>
      </c>
      <c r="C724" s="72"/>
      <c r="D724" s="73"/>
      <c r="E724" s="70">
        <v>14.69</v>
      </c>
      <c r="F724" s="72">
        <v>13541.84</v>
      </c>
      <c r="G724" s="74">
        <f>G723+F724</f>
        <v>7939108.8699999945</v>
      </c>
      <c r="H724" s="75" t="s">
        <v>13</v>
      </c>
      <c r="I724" s="500" t="s">
        <v>127</v>
      </c>
      <c r="J724" s="519" t="s">
        <v>738</v>
      </c>
      <c r="K724" s="502" t="s">
        <v>127</v>
      </c>
      <c r="L724" s="15"/>
      <c r="M724" t="str">
        <f t="shared" ref="M724:M787" si="87">IF(E724="","",IF(E724=F724,"OJOOO",""))</f>
        <v/>
      </c>
      <c r="N724" t="str">
        <f t="shared" si="84"/>
        <v/>
      </c>
    </row>
    <row r="725" spans="1:14" ht="15" thickBot="1">
      <c r="A725" s="424">
        <v>46262</v>
      </c>
      <c r="B725" s="363" t="s">
        <v>309</v>
      </c>
      <c r="C725" s="24">
        <v>0.26</v>
      </c>
      <c r="D725" s="235">
        <v>243.91</v>
      </c>
      <c r="E725" s="234"/>
      <c r="F725" s="234"/>
      <c r="G725" s="153">
        <f>G724-D725</f>
        <v>7938864.9599999944</v>
      </c>
      <c r="H725" s="423" t="s">
        <v>13</v>
      </c>
      <c r="I725" s="412" t="s">
        <v>116</v>
      </c>
      <c r="J725" s="412" t="s">
        <v>117</v>
      </c>
      <c r="K725" s="14"/>
      <c r="L725" s="412" t="s">
        <v>437</v>
      </c>
      <c r="M725" t="str">
        <f t="shared" si="87"/>
        <v/>
      </c>
      <c r="N725" t="str">
        <f t="shared" si="84"/>
        <v/>
      </c>
    </row>
    <row r="726" spans="1:14" ht="15" thickBot="1">
      <c r="A726" s="424">
        <v>46262</v>
      </c>
      <c r="B726" s="363" t="s">
        <v>309</v>
      </c>
      <c r="C726" s="24">
        <v>0.22</v>
      </c>
      <c r="D726" s="235">
        <v>203.12</v>
      </c>
      <c r="E726" s="234"/>
      <c r="F726" s="234"/>
      <c r="G726" s="153">
        <f>G725-D726</f>
        <v>7938661.8399999943</v>
      </c>
      <c r="H726" s="423" t="s">
        <v>13</v>
      </c>
      <c r="I726" s="412" t="s">
        <v>116</v>
      </c>
      <c r="J726" s="412" t="s">
        <v>117</v>
      </c>
      <c r="K726" s="14"/>
      <c r="L726" s="412" t="s">
        <v>437</v>
      </c>
      <c r="M726" t="str">
        <f t="shared" si="87"/>
        <v/>
      </c>
      <c r="N726" t="str">
        <f t="shared" si="84"/>
        <v/>
      </c>
    </row>
    <row r="727" spans="1:14" ht="15" thickBot="1">
      <c r="A727" s="424">
        <v>46262</v>
      </c>
      <c r="B727" s="495" t="s">
        <v>694</v>
      </c>
      <c r="C727" s="24">
        <v>291.12</v>
      </c>
      <c r="D727" s="235">
        <v>268375.01</v>
      </c>
      <c r="E727" s="234"/>
      <c r="F727" s="234"/>
      <c r="G727" s="153">
        <f>G726-D727</f>
        <v>7670286.8299999945</v>
      </c>
      <c r="H727" s="423" t="s">
        <v>10</v>
      </c>
      <c r="I727" s="500" t="s">
        <v>116</v>
      </c>
      <c r="J727" s="501" t="s">
        <v>695</v>
      </c>
      <c r="K727" s="14"/>
      <c r="L727" s="412" t="s">
        <v>437</v>
      </c>
      <c r="M727" t="str">
        <f t="shared" si="87"/>
        <v/>
      </c>
      <c r="N727" t="str">
        <f t="shared" si="84"/>
        <v/>
      </c>
    </row>
    <row r="728" spans="1:14" ht="15" thickBot="1">
      <c r="A728" s="424">
        <v>46262</v>
      </c>
      <c r="B728" s="409" t="s">
        <v>31</v>
      </c>
      <c r="C728" s="24">
        <v>0.87</v>
      </c>
      <c r="D728" s="235">
        <v>805.12</v>
      </c>
      <c r="E728" s="234"/>
      <c r="F728" s="234"/>
      <c r="G728" s="153">
        <f>G727-D728</f>
        <v>7669481.7099999944</v>
      </c>
      <c r="H728" s="423" t="s">
        <v>25</v>
      </c>
      <c r="I728" s="412" t="s">
        <v>116</v>
      </c>
      <c r="J728" s="412" t="s">
        <v>117</v>
      </c>
      <c r="K728" s="14"/>
      <c r="L728" s="412" t="s">
        <v>437</v>
      </c>
      <c r="M728" t="str">
        <f t="shared" si="87"/>
        <v/>
      </c>
      <c r="N728" t="str">
        <f t="shared" si="84"/>
        <v/>
      </c>
    </row>
    <row r="729" spans="1:14" ht="15" thickBot="1">
      <c r="A729" s="424">
        <v>46262</v>
      </c>
      <c r="B729" s="425" t="s">
        <v>458</v>
      </c>
      <c r="C729" s="24">
        <v>30.88</v>
      </c>
      <c r="D729" s="235">
        <v>28468.45</v>
      </c>
      <c r="E729" s="234"/>
      <c r="F729" s="234"/>
      <c r="G729" s="153">
        <f t="shared" ref="G729:G734" si="88">G728-D729</f>
        <v>7641013.2599999942</v>
      </c>
      <c r="H729" s="426" t="s">
        <v>13</v>
      </c>
      <c r="I729" s="500" t="s">
        <v>119</v>
      </c>
      <c r="J729" s="501" t="s">
        <v>128</v>
      </c>
      <c r="K729" s="502"/>
      <c r="L729" s="501" t="s">
        <v>437</v>
      </c>
      <c r="M729" t="str">
        <f t="shared" si="87"/>
        <v/>
      </c>
      <c r="N729" t="str">
        <f t="shared" si="84"/>
        <v/>
      </c>
    </row>
    <row r="730" spans="1:14" ht="15" thickBot="1">
      <c r="A730" s="424">
        <v>46262</v>
      </c>
      <c r="B730" s="425" t="s">
        <v>459</v>
      </c>
      <c r="C730" s="24">
        <v>4.3</v>
      </c>
      <c r="D730" s="235">
        <v>3960</v>
      </c>
      <c r="E730" s="234"/>
      <c r="F730" s="234"/>
      <c r="G730" s="153">
        <f t="shared" si="88"/>
        <v>7637053.2599999942</v>
      </c>
      <c r="H730" s="280"/>
      <c r="I730" s="500" t="s">
        <v>119</v>
      </c>
      <c r="J730" s="501" t="s">
        <v>128</v>
      </c>
      <c r="K730" s="502"/>
      <c r="L730" s="501" t="s">
        <v>437</v>
      </c>
      <c r="M730" t="str">
        <f t="shared" si="87"/>
        <v/>
      </c>
      <c r="N730" t="str">
        <f t="shared" si="84"/>
        <v/>
      </c>
    </row>
    <row r="731" spans="1:14" ht="29.5" thickBot="1">
      <c r="A731" s="424">
        <v>46262</v>
      </c>
      <c r="B731" s="449" t="s">
        <v>541</v>
      </c>
      <c r="C731" s="24">
        <v>697.67</v>
      </c>
      <c r="D731" s="235">
        <v>643165.86</v>
      </c>
      <c r="E731" s="234"/>
      <c r="F731" s="234"/>
      <c r="G731" s="153">
        <f t="shared" si="88"/>
        <v>6993887.3999999939</v>
      </c>
      <c r="H731" s="423" t="s">
        <v>10</v>
      </c>
      <c r="I731" s="500" t="s">
        <v>119</v>
      </c>
      <c r="J731" s="501" t="s">
        <v>128</v>
      </c>
      <c r="K731" s="502"/>
      <c r="L731" s="501" t="s">
        <v>437</v>
      </c>
      <c r="M731" t="str">
        <f t="shared" si="87"/>
        <v/>
      </c>
      <c r="N731" t="str">
        <f t="shared" si="84"/>
        <v/>
      </c>
    </row>
    <row r="732" spans="1:14" ht="15" thickBot="1">
      <c r="A732" s="424">
        <v>46262</v>
      </c>
      <c r="B732" s="409" t="s">
        <v>31</v>
      </c>
      <c r="C732" s="24">
        <v>2.09</v>
      </c>
      <c r="D732" s="235">
        <v>1929.49</v>
      </c>
      <c r="E732" s="234"/>
      <c r="F732" s="234"/>
      <c r="G732" s="153">
        <f t="shared" si="88"/>
        <v>6991957.9099999936</v>
      </c>
      <c r="H732" s="423" t="s">
        <v>25</v>
      </c>
      <c r="I732" s="412" t="s">
        <v>116</v>
      </c>
      <c r="J732" s="412" t="s">
        <v>117</v>
      </c>
      <c r="K732" s="14"/>
      <c r="L732" s="412" t="s">
        <v>437</v>
      </c>
      <c r="M732" t="str">
        <f t="shared" si="87"/>
        <v/>
      </c>
      <c r="N732" t="str">
        <f t="shared" si="84"/>
        <v/>
      </c>
    </row>
    <row r="733" spans="1:14" ht="29.5" thickBot="1">
      <c r="A733" s="424">
        <v>46262</v>
      </c>
      <c r="B733" s="449" t="s">
        <v>542</v>
      </c>
      <c r="C733" s="24">
        <v>8.59</v>
      </c>
      <c r="D733" s="235">
        <v>7916.67</v>
      </c>
      <c r="E733" s="234"/>
      <c r="F733" s="234"/>
      <c r="G733" s="153">
        <f t="shared" si="88"/>
        <v>6984041.2399999937</v>
      </c>
      <c r="H733" s="423" t="s">
        <v>10</v>
      </c>
      <c r="I733" s="412" t="s">
        <v>116</v>
      </c>
      <c r="J733" s="501" t="s">
        <v>695</v>
      </c>
      <c r="K733" s="14"/>
      <c r="L733" s="412" t="s">
        <v>437</v>
      </c>
      <c r="M733" t="str">
        <f t="shared" si="87"/>
        <v/>
      </c>
      <c r="N733" t="str">
        <f t="shared" si="84"/>
        <v/>
      </c>
    </row>
    <row r="734" spans="1:14" ht="15" thickBot="1">
      <c r="A734" s="424">
        <v>46262</v>
      </c>
      <c r="B734" s="409" t="s">
        <v>31</v>
      </c>
      <c r="C734" s="24">
        <v>0.03</v>
      </c>
      <c r="D734" s="235">
        <v>23.75</v>
      </c>
      <c r="E734" s="234"/>
      <c r="F734" s="234"/>
      <c r="G734" s="153">
        <f t="shared" si="88"/>
        <v>6984017.4899999937</v>
      </c>
      <c r="H734" s="423" t="s">
        <v>25</v>
      </c>
      <c r="I734" s="412" t="s">
        <v>116</v>
      </c>
      <c r="J734" s="412" t="s">
        <v>117</v>
      </c>
      <c r="K734" s="14"/>
      <c r="L734" s="412" t="s">
        <v>437</v>
      </c>
      <c r="M734" t="str">
        <f t="shared" si="87"/>
        <v/>
      </c>
      <c r="N734" t="str">
        <f t="shared" si="84"/>
        <v/>
      </c>
    </row>
    <row r="735" spans="1:14" ht="15" thickBot="1">
      <c r="A735" s="69">
        <v>46263</v>
      </c>
      <c r="B735" s="70" t="s">
        <v>460</v>
      </c>
      <c r="C735" s="72"/>
      <c r="D735" s="73"/>
      <c r="E735" s="70">
        <v>37.21</v>
      </c>
      <c r="F735" s="72">
        <v>34330.82</v>
      </c>
      <c r="G735" s="74">
        <f>G734+F735</f>
        <v>7018348.309999994</v>
      </c>
      <c r="H735" s="75" t="s">
        <v>13</v>
      </c>
      <c r="I735" s="500" t="s">
        <v>127</v>
      </c>
      <c r="J735" s="519" t="s">
        <v>738</v>
      </c>
      <c r="K735" s="502" t="s">
        <v>127</v>
      </c>
      <c r="L735" s="412"/>
      <c r="M735" t="str">
        <f t="shared" si="87"/>
        <v/>
      </c>
      <c r="N735" t="str">
        <f t="shared" si="84"/>
        <v/>
      </c>
    </row>
    <row r="736" spans="1:14" ht="15" thickBot="1">
      <c r="A736" s="69">
        <v>46263</v>
      </c>
      <c r="B736" s="70" t="s">
        <v>439</v>
      </c>
      <c r="C736" s="72"/>
      <c r="D736" s="73"/>
      <c r="E736" s="70">
        <v>16.920000000000002</v>
      </c>
      <c r="F736" s="72">
        <v>15609.64</v>
      </c>
      <c r="G736" s="74">
        <f>G735+F736</f>
        <v>7033957.9499999937</v>
      </c>
      <c r="H736" s="75" t="s">
        <v>13</v>
      </c>
      <c r="I736" s="500" t="s">
        <v>127</v>
      </c>
      <c r="J736" s="519" t="s">
        <v>738</v>
      </c>
      <c r="K736" s="502" t="s">
        <v>127</v>
      </c>
      <c r="L736" s="15"/>
      <c r="M736" t="str">
        <f t="shared" si="87"/>
        <v/>
      </c>
      <c r="N736" t="str">
        <f t="shared" si="84"/>
        <v/>
      </c>
    </row>
    <row r="737" spans="1:14" ht="15" thickBot="1">
      <c r="A737" s="231">
        <v>46263</v>
      </c>
      <c r="B737" s="363" t="s">
        <v>309</v>
      </c>
      <c r="C737" s="24">
        <v>0.56000000000000005</v>
      </c>
      <c r="D737" s="235">
        <v>514.96</v>
      </c>
      <c r="E737" s="234"/>
      <c r="F737" s="234"/>
      <c r="G737" s="153">
        <f t="shared" ref="G737:G744" si="89">G736-D737</f>
        <v>7033442.9899999937</v>
      </c>
      <c r="H737" s="426" t="s">
        <v>25</v>
      </c>
      <c r="I737" s="412" t="s">
        <v>116</v>
      </c>
      <c r="J737" s="412" t="s">
        <v>117</v>
      </c>
      <c r="K737" s="14"/>
      <c r="L737" s="412" t="s">
        <v>437</v>
      </c>
      <c r="M737" t="str">
        <f t="shared" si="87"/>
        <v/>
      </c>
      <c r="N737" t="str">
        <f t="shared" si="84"/>
        <v/>
      </c>
    </row>
    <row r="738" spans="1:14" ht="15" thickBot="1">
      <c r="A738" s="231">
        <v>46263</v>
      </c>
      <c r="B738" s="363" t="s">
        <v>309</v>
      </c>
      <c r="C738" s="24">
        <v>0.25</v>
      </c>
      <c r="D738" s="235">
        <v>234.14</v>
      </c>
      <c r="E738" s="234"/>
      <c r="F738" s="234"/>
      <c r="G738" s="153">
        <f t="shared" si="89"/>
        <v>7033208.849999994</v>
      </c>
      <c r="H738" s="426" t="s">
        <v>25</v>
      </c>
      <c r="I738" s="412" t="s">
        <v>116</v>
      </c>
      <c r="J738" s="412" t="s">
        <v>117</v>
      </c>
      <c r="K738" s="14"/>
      <c r="L738" s="412" t="s">
        <v>437</v>
      </c>
      <c r="M738" t="str">
        <f t="shared" si="87"/>
        <v/>
      </c>
      <c r="N738" t="str">
        <f t="shared" si="84"/>
        <v/>
      </c>
    </row>
    <row r="739" spans="1:14" ht="15" thickBot="1">
      <c r="A739" s="231">
        <v>46263</v>
      </c>
      <c r="B739" s="425" t="s">
        <v>461</v>
      </c>
      <c r="C739" s="24">
        <v>0.89</v>
      </c>
      <c r="D739" s="235">
        <v>795</v>
      </c>
      <c r="E739" s="234"/>
      <c r="F739" s="234"/>
      <c r="G739" s="153">
        <f t="shared" si="89"/>
        <v>7032413.849999994</v>
      </c>
      <c r="H739" s="426" t="s">
        <v>13</v>
      </c>
      <c r="I739" s="500" t="s">
        <v>119</v>
      </c>
      <c r="J739" s="501" t="s">
        <v>128</v>
      </c>
      <c r="K739" s="502"/>
      <c r="L739" s="501" t="s">
        <v>437</v>
      </c>
      <c r="M739" t="str">
        <f t="shared" si="87"/>
        <v/>
      </c>
      <c r="N739" t="str">
        <f t="shared" si="84"/>
        <v/>
      </c>
    </row>
    <row r="740" spans="1:14" ht="29.5" thickBot="1">
      <c r="A740" s="231">
        <v>46263</v>
      </c>
      <c r="B740" s="449" t="s">
        <v>543</v>
      </c>
      <c r="C740" s="24">
        <v>17.23</v>
      </c>
      <c r="D740" s="235">
        <v>15900</v>
      </c>
      <c r="E740" s="234"/>
      <c r="F740" s="234"/>
      <c r="G740" s="153">
        <f t="shared" si="89"/>
        <v>7016513.849999994</v>
      </c>
      <c r="H740" s="426" t="s">
        <v>13</v>
      </c>
      <c r="I740" s="500" t="s">
        <v>119</v>
      </c>
      <c r="J740" s="501" t="s">
        <v>128</v>
      </c>
      <c r="K740" s="502"/>
      <c r="L740" s="501" t="s">
        <v>437</v>
      </c>
      <c r="M740" t="str">
        <f t="shared" si="87"/>
        <v/>
      </c>
      <c r="N740" t="str">
        <f t="shared" si="84"/>
        <v/>
      </c>
    </row>
    <row r="741" spans="1:14" ht="29.5" thickBot="1">
      <c r="A741" s="231">
        <v>46263</v>
      </c>
      <c r="B741" s="429" t="s">
        <v>468</v>
      </c>
      <c r="C741" s="24">
        <v>166.73</v>
      </c>
      <c r="D741" s="235">
        <v>153839.47</v>
      </c>
      <c r="E741" s="234"/>
      <c r="F741" s="234"/>
      <c r="G741" s="153">
        <f t="shared" si="89"/>
        <v>6862674.3799999943</v>
      </c>
      <c r="H741" s="426" t="s">
        <v>13</v>
      </c>
      <c r="I741" s="500" t="s">
        <v>119</v>
      </c>
      <c r="J741" s="501" t="s">
        <v>128</v>
      </c>
      <c r="K741" s="502"/>
      <c r="L741" s="501" t="s">
        <v>437</v>
      </c>
      <c r="M741" t="str">
        <f t="shared" si="87"/>
        <v/>
      </c>
      <c r="N741" t="str">
        <f t="shared" si="84"/>
        <v/>
      </c>
    </row>
    <row r="742" spans="1:14" ht="15" thickBot="1">
      <c r="A742" s="231">
        <v>46263</v>
      </c>
      <c r="B742" s="425" t="s">
        <v>462</v>
      </c>
      <c r="C742" s="24">
        <v>120.82</v>
      </c>
      <c r="D742" s="235">
        <v>111476.6</v>
      </c>
      <c r="E742" s="234"/>
      <c r="F742" s="234"/>
      <c r="G742" s="153">
        <f t="shared" si="89"/>
        <v>6751197.7799999947</v>
      </c>
      <c r="H742" s="426" t="s">
        <v>13</v>
      </c>
      <c r="I742" s="500" t="s">
        <v>119</v>
      </c>
      <c r="J742" s="501" t="s">
        <v>128</v>
      </c>
      <c r="K742" s="502"/>
      <c r="L742" s="501" t="s">
        <v>437</v>
      </c>
      <c r="M742" t="str">
        <f t="shared" si="87"/>
        <v/>
      </c>
      <c r="N742" t="str">
        <f t="shared" si="84"/>
        <v/>
      </c>
    </row>
    <row r="743" spans="1:14" ht="29.5" thickBot="1">
      <c r="A743" s="231">
        <v>46263</v>
      </c>
      <c r="B743" s="449" t="s">
        <v>544</v>
      </c>
      <c r="C743" s="24">
        <v>31.88</v>
      </c>
      <c r="D743" s="235">
        <v>29417.81</v>
      </c>
      <c r="E743" s="234"/>
      <c r="F743" s="234"/>
      <c r="G743" s="153">
        <f t="shared" si="89"/>
        <v>6721779.9699999951</v>
      </c>
      <c r="H743" s="426" t="s">
        <v>13</v>
      </c>
      <c r="I743" s="500" t="s">
        <v>119</v>
      </c>
      <c r="J743" s="501" t="s">
        <v>128</v>
      </c>
      <c r="K743" s="502"/>
      <c r="L743" s="501" t="s">
        <v>437</v>
      </c>
      <c r="M743" t="str">
        <f t="shared" si="87"/>
        <v/>
      </c>
      <c r="N743" t="str">
        <f t="shared" si="84"/>
        <v/>
      </c>
    </row>
    <row r="744" spans="1:14" ht="15" thickBot="1">
      <c r="A744" s="231">
        <v>46264</v>
      </c>
      <c r="B744" s="425" t="s">
        <v>463</v>
      </c>
      <c r="C744" s="24">
        <v>0.06</v>
      </c>
      <c r="D744" s="235">
        <v>54</v>
      </c>
      <c r="E744" s="234"/>
      <c r="F744" s="234"/>
      <c r="G744" s="153">
        <f t="shared" si="89"/>
        <v>6721725.9699999951</v>
      </c>
      <c r="H744" s="426" t="s">
        <v>25</v>
      </c>
      <c r="I744" s="412" t="s">
        <v>116</v>
      </c>
      <c r="J744" s="412" t="s">
        <v>117</v>
      </c>
      <c r="K744" s="14"/>
      <c r="L744" s="412" t="s">
        <v>437</v>
      </c>
      <c r="M744" t="str">
        <f t="shared" si="87"/>
        <v/>
      </c>
      <c r="N744" t="str">
        <f t="shared" si="84"/>
        <v/>
      </c>
    </row>
    <row r="745" spans="1:14" ht="15" thickBot="1">
      <c r="A745" s="69">
        <v>46264</v>
      </c>
      <c r="B745" s="70" t="s">
        <v>464</v>
      </c>
      <c r="C745" s="72"/>
      <c r="D745" s="73"/>
      <c r="E745" s="70">
        <v>35.28</v>
      </c>
      <c r="F745" s="72">
        <v>32552.46</v>
      </c>
      <c r="G745" s="74">
        <f>G744+F745</f>
        <v>6754278.429999995</v>
      </c>
      <c r="H745" s="75" t="s">
        <v>13</v>
      </c>
      <c r="I745" s="500" t="s">
        <v>127</v>
      </c>
      <c r="J745" s="519" t="s">
        <v>738</v>
      </c>
      <c r="K745" s="502" t="s">
        <v>127</v>
      </c>
      <c r="L745" s="412"/>
      <c r="M745" t="str">
        <f t="shared" si="87"/>
        <v/>
      </c>
      <c r="N745" t="str">
        <f t="shared" si="84"/>
        <v/>
      </c>
    </row>
    <row r="746" spans="1:14" ht="15" thickBot="1">
      <c r="A746" s="69">
        <v>46264</v>
      </c>
      <c r="B746" s="70" t="s">
        <v>440</v>
      </c>
      <c r="C746" s="72"/>
      <c r="D746" s="73"/>
      <c r="E746" s="70">
        <v>23.52</v>
      </c>
      <c r="F746" s="72">
        <v>21701.67</v>
      </c>
      <c r="G746" s="74">
        <f>G745+F746</f>
        <v>6775980.099999995</v>
      </c>
      <c r="H746" s="75" t="s">
        <v>13</v>
      </c>
      <c r="I746" s="500" t="s">
        <v>127</v>
      </c>
      <c r="J746" s="519" t="s">
        <v>738</v>
      </c>
      <c r="K746" s="502" t="s">
        <v>127</v>
      </c>
      <c r="L746" s="15"/>
      <c r="M746" t="str">
        <f t="shared" si="87"/>
        <v/>
      </c>
      <c r="N746" t="str">
        <f t="shared" si="84"/>
        <v/>
      </c>
    </row>
    <row r="747" spans="1:14" ht="15" thickBot="1">
      <c r="A747" s="231">
        <v>46264</v>
      </c>
      <c r="B747" s="363" t="s">
        <v>309</v>
      </c>
      <c r="C747" s="24">
        <v>0.53</v>
      </c>
      <c r="D747" s="235">
        <v>488.28</v>
      </c>
      <c r="E747" s="234"/>
      <c r="F747" s="234"/>
      <c r="G747" s="153">
        <f>G746-D747</f>
        <v>6775491.8199999947</v>
      </c>
      <c r="H747" s="426" t="s">
        <v>25</v>
      </c>
      <c r="I747" s="412" t="s">
        <v>116</v>
      </c>
      <c r="J747" s="412" t="s">
        <v>117</v>
      </c>
      <c r="K747" s="14"/>
      <c r="L747" s="412" t="s">
        <v>437</v>
      </c>
      <c r="M747" t="str">
        <f t="shared" si="87"/>
        <v/>
      </c>
      <c r="N747" t="str">
        <f t="shared" si="84"/>
        <v/>
      </c>
    </row>
    <row r="748" spans="1:14" ht="15" thickBot="1">
      <c r="A748" s="231">
        <v>46264</v>
      </c>
      <c r="B748" s="363" t="s">
        <v>309</v>
      </c>
      <c r="C748" s="24">
        <v>0.35</v>
      </c>
      <c r="D748" s="235">
        <v>325.52</v>
      </c>
      <c r="E748" s="234"/>
      <c r="F748" s="234"/>
      <c r="G748" s="153">
        <f>G747-D748</f>
        <v>6775166.2999999952</v>
      </c>
      <c r="H748" s="426" t="s">
        <v>25</v>
      </c>
      <c r="I748" s="412" t="s">
        <v>116</v>
      </c>
      <c r="J748" s="412" t="s">
        <v>117</v>
      </c>
      <c r="K748" s="14"/>
      <c r="L748" s="412" t="s">
        <v>437</v>
      </c>
      <c r="M748" t="str">
        <f t="shared" si="87"/>
        <v/>
      </c>
      <c r="N748" t="str">
        <f t="shared" si="84"/>
        <v/>
      </c>
    </row>
    <row r="749" spans="1:14" ht="15" thickBot="1">
      <c r="A749" s="69">
        <v>46265</v>
      </c>
      <c r="B749" s="70" t="s">
        <v>465</v>
      </c>
      <c r="C749" s="72"/>
      <c r="D749" s="73"/>
      <c r="E749" s="70">
        <v>8.82</v>
      </c>
      <c r="F749" s="72">
        <v>8138.13</v>
      </c>
      <c r="G749" s="74">
        <f>G748+F749</f>
        <v>6783304.429999995</v>
      </c>
      <c r="H749" s="75" t="s">
        <v>13</v>
      </c>
      <c r="I749" s="500" t="s">
        <v>127</v>
      </c>
      <c r="J749" s="519" t="s">
        <v>738</v>
      </c>
      <c r="K749" s="502" t="s">
        <v>127</v>
      </c>
      <c r="L749" s="412"/>
      <c r="M749" t="str">
        <f t="shared" si="87"/>
        <v/>
      </c>
      <c r="N749" t="str">
        <f t="shared" si="84"/>
        <v/>
      </c>
    </row>
    <row r="750" spans="1:14" ht="15" thickBot="1">
      <c r="A750" s="69">
        <v>46265</v>
      </c>
      <c r="B750" s="70" t="s">
        <v>457</v>
      </c>
      <c r="C750" s="72"/>
      <c r="D750" s="73"/>
      <c r="E750" s="70">
        <v>5.88</v>
      </c>
      <c r="F750" s="72">
        <v>5425.42</v>
      </c>
      <c r="G750" s="74">
        <f>G749+F750</f>
        <v>6788729.849999995</v>
      </c>
      <c r="H750" s="75" t="s">
        <v>13</v>
      </c>
      <c r="I750" s="500" t="s">
        <v>127</v>
      </c>
      <c r="J750" s="519" t="s">
        <v>738</v>
      </c>
      <c r="K750" s="502" t="s">
        <v>127</v>
      </c>
      <c r="L750" s="15"/>
      <c r="M750" t="str">
        <f t="shared" si="87"/>
        <v/>
      </c>
      <c r="N750" t="str">
        <f t="shared" si="84"/>
        <v/>
      </c>
    </row>
    <row r="751" spans="1:14" ht="15" thickBot="1">
      <c r="A751" s="231">
        <v>46265</v>
      </c>
      <c r="B751" s="363" t="s">
        <v>309</v>
      </c>
      <c r="C751" s="24">
        <v>0.13</v>
      </c>
      <c r="D751" s="235">
        <v>122.07</v>
      </c>
      <c r="E751" s="234"/>
      <c r="F751" s="234"/>
      <c r="G751" s="153">
        <f t="shared" ref="G751:G764" si="90">G750-D751</f>
        <v>6788607.7799999947</v>
      </c>
      <c r="H751" s="426" t="s">
        <v>25</v>
      </c>
      <c r="I751" s="412" t="s">
        <v>116</v>
      </c>
      <c r="J751" s="412" t="s">
        <v>117</v>
      </c>
      <c r="K751" s="14"/>
      <c r="L751" s="412" t="s">
        <v>437</v>
      </c>
      <c r="M751" t="str">
        <f t="shared" si="87"/>
        <v/>
      </c>
      <c r="N751" t="str">
        <f t="shared" si="84"/>
        <v/>
      </c>
    </row>
    <row r="752" spans="1:14" ht="15" thickBot="1">
      <c r="A752" s="231">
        <v>46265</v>
      </c>
      <c r="B752" s="363" t="s">
        <v>309</v>
      </c>
      <c r="C752" s="24">
        <v>0.09</v>
      </c>
      <c r="D752" s="235">
        <v>81.38</v>
      </c>
      <c r="E752" s="234"/>
      <c r="F752" s="234"/>
      <c r="G752" s="153">
        <f t="shared" si="90"/>
        <v>6788526.3999999948</v>
      </c>
      <c r="H752" s="426" t="s">
        <v>25</v>
      </c>
      <c r="I752" s="412" t="s">
        <v>116</v>
      </c>
      <c r="J752" s="412" t="s">
        <v>117</v>
      </c>
      <c r="K752" s="14"/>
      <c r="L752" s="412" t="s">
        <v>437</v>
      </c>
      <c r="M752" t="str">
        <f t="shared" si="87"/>
        <v/>
      </c>
      <c r="N752" t="str">
        <f t="shared" si="84"/>
        <v/>
      </c>
    </row>
    <row r="753" spans="1:14" ht="29.5" thickBot="1">
      <c r="A753" s="231">
        <v>46265</v>
      </c>
      <c r="B753" s="429" t="s">
        <v>469</v>
      </c>
      <c r="C753" s="24">
        <v>98.19</v>
      </c>
      <c r="D753" s="235">
        <v>78386.17</v>
      </c>
      <c r="E753" s="234"/>
      <c r="F753" s="234"/>
      <c r="G753" s="153">
        <f t="shared" si="90"/>
        <v>6710140.2299999949</v>
      </c>
      <c r="H753" s="430" t="s">
        <v>10</v>
      </c>
      <c r="I753" s="412" t="s">
        <v>116</v>
      </c>
      <c r="J753" s="501" t="s">
        <v>269</v>
      </c>
      <c r="K753" s="14"/>
      <c r="L753" s="501" t="s">
        <v>437</v>
      </c>
      <c r="M753" t="str">
        <f t="shared" si="87"/>
        <v/>
      </c>
      <c r="N753" t="str">
        <f t="shared" si="84"/>
        <v/>
      </c>
    </row>
    <row r="754" spans="1:14" ht="15" thickBot="1">
      <c r="A754" s="231">
        <v>46265</v>
      </c>
      <c r="B754" s="409" t="s">
        <v>31</v>
      </c>
      <c r="C754" s="24">
        <v>0.28999999999999998</v>
      </c>
      <c r="D754" s="235">
        <v>235.15</v>
      </c>
      <c r="E754" s="234"/>
      <c r="F754" s="234"/>
      <c r="G754" s="153">
        <f t="shared" si="90"/>
        <v>6709905.0799999945</v>
      </c>
      <c r="H754" s="430" t="s">
        <v>25</v>
      </c>
      <c r="I754" s="412" t="s">
        <v>116</v>
      </c>
      <c r="J754" s="412" t="s">
        <v>117</v>
      </c>
      <c r="K754" s="14"/>
      <c r="L754" s="412" t="s">
        <v>437</v>
      </c>
      <c r="M754" t="str">
        <f t="shared" si="87"/>
        <v/>
      </c>
      <c r="N754" t="str">
        <f t="shared" si="84"/>
        <v/>
      </c>
    </row>
    <row r="755" spans="1:14" ht="29.5" thickBot="1">
      <c r="A755" s="231">
        <v>46265</v>
      </c>
      <c r="B755" s="503" t="s">
        <v>696</v>
      </c>
      <c r="C755" s="24">
        <v>115.52</v>
      </c>
      <c r="D755" s="235">
        <v>92220</v>
      </c>
      <c r="E755" s="234"/>
      <c r="F755" s="234"/>
      <c r="G755" s="153">
        <f t="shared" si="90"/>
        <v>6617685.0799999945</v>
      </c>
      <c r="H755" s="430" t="s">
        <v>10</v>
      </c>
      <c r="I755" s="500" t="s">
        <v>119</v>
      </c>
      <c r="J755" s="501" t="s">
        <v>443</v>
      </c>
      <c r="K755" s="14"/>
      <c r="L755" s="412" t="s">
        <v>437</v>
      </c>
      <c r="M755" t="str">
        <f t="shared" si="87"/>
        <v/>
      </c>
      <c r="N755" t="str">
        <f t="shared" si="84"/>
        <v/>
      </c>
    </row>
    <row r="756" spans="1:14" ht="15" thickBot="1">
      <c r="A756" s="231">
        <v>46265</v>
      </c>
      <c r="B756" s="428" t="s">
        <v>31</v>
      </c>
      <c r="C756" s="24">
        <v>0.35</v>
      </c>
      <c r="D756" s="235">
        <v>276.66000000000003</v>
      </c>
      <c r="E756" s="234"/>
      <c r="F756" s="234"/>
      <c r="G756" s="153">
        <f t="shared" si="90"/>
        <v>6617408.4199999943</v>
      </c>
      <c r="H756" s="430" t="s">
        <v>25</v>
      </c>
      <c r="I756" s="412" t="s">
        <v>116</v>
      </c>
      <c r="J756" s="412" t="s">
        <v>117</v>
      </c>
      <c r="K756" s="14"/>
      <c r="L756" s="412" t="s">
        <v>437</v>
      </c>
      <c r="M756" t="str">
        <f t="shared" si="87"/>
        <v/>
      </c>
      <c r="N756" t="str">
        <f t="shared" si="84"/>
        <v/>
      </c>
    </row>
    <row r="757" spans="1:14" ht="29.5" thickBot="1">
      <c r="A757" s="231">
        <v>46265</v>
      </c>
      <c r="B757" s="429" t="s">
        <v>471</v>
      </c>
      <c r="C757" s="24">
        <v>89.62</v>
      </c>
      <c r="D757" s="235">
        <v>71549.25</v>
      </c>
      <c r="E757" s="234"/>
      <c r="F757" s="234"/>
      <c r="G757" s="153">
        <f t="shared" si="90"/>
        <v>6545859.1699999943</v>
      </c>
      <c r="H757" s="430" t="s">
        <v>10</v>
      </c>
      <c r="I757" s="500" t="s">
        <v>119</v>
      </c>
      <c r="J757" s="501" t="s">
        <v>443</v>
      </c>
      <c r="K757" s="14"/>
      <c r="L757" s="412" t="s">
        <v>437</v>
      </c>
      <c r="M757" t="str">
        <f t="shared" si="87"/>
        <v/>
      </c>
      <c r="N757" t="str">
        <f t="shared" si="84"/>
        <v/>
      </c>
    </row>
    <row r="758" spans="1:14" ht="15" thickBot="1">
      <c r="A758" s="231">
        <v>46265</v>
      </c>
      <c r="B758" s="428" t="s">
        <v>31</v>
      </c>
      <c r="C758" s="24">
        <v>0.27</v>
      </c>
      <c r="D758" s="235">
        <v>214.64</v>
      </c>
      <c r="E758" s="234"/>
      <c r="F758" s="234"/>
      <c r="G758" s="153">
        <f t="shared" si="90"/>
        <v>6545644.5299999947</v>
      </c>
      <c r="H758" s="430" t="s">
        <v>25</v>
      </c>
      <c r="I758" s="412" t="s">
        <v>116</v>
      </c>
      <c r="J758" s="412" t="s">
        <v>117</v>
      </c>
      <c r="K758" s="14"/>
      <c r="L758" s="412" t="s">
        <v>437</v>
      </c>
      <c r="M758" t="str">
        <f t="shared" si="87"/>
        <v/>
      </c>
      <c r="N758" t="str">
        <f t="shared" si="84"/>
        <v/>
      </c>
    </row>
    <row r="759" spans="1:14" ht="15" thickBot="1">
      <c r="A759" s="231">
        <v>46265</v>
      </c>
      <c r="B759" s="428" t="s">
        <v>472</v>
      </c>
      <c r="C759" s="24">
        <v>1605.58</v>
      </c>
      <c r="D759" s="235">
        <v>1487658.14</v>
      </c>
      <c r="E759" s="234"/>
      <c r="F759" s="234"/>
      <c r="G759" s="153">
        <f t="shared" si="90"/>
        <v>5057986.389999995</v>
      </c>
      <c r="H759" s="430" t="s">
        <v>10</v>
      </c>
      <c r="I759" s="412" t="s">
        <v>116</v>
      </c>
      <c r="J759" s="501" t="s">
        <v>121</v>
      </c>
      <c r="K759" s="14"/>
      <c r="L759" s="412" t="s">
        <v>437</v>
      </c>
      <c r="M759" t="str">
        <f t="shared" si="87"/>
        <v/>
      </c>
      <c r="N759" t="str">
        <f t="shared" si="84"/>
        <v/>
      </c>
    </row>
    <row r="760" spans="1:14" ht="15" thickBot="1">
      <c r="A760" s="231">
        <v>46265</v>
      </c>
      <c r="B760" s="428" t="s">
        <v>31</v>
      </c>
      <c r="C760" s="24">
        <v>5.59</v>
      </c>
      <c r="D760" s="235">
        <v>4462.97</v>
      </c>
      <c r="E760" s="234"/>
      <c r="F760" s="234"/>
      <c r="G760" s="153">
        <f t="shared" si="90"/>
        <v>5053523.4199999953</v>
      </c>
      <c r="H760" s="430" t="s">
        <v>25</v>
      </c>
      <c r="I760" s="412" t="s">
        <v>116</v>
      </c>
      <c r="J760" s="412" t="s">
        <v>117</v>
      </c>
      <c r="K760" s="14"/>
      <c r="L760" s="412" t="s">
        <v>437</v>
      </c>
      <c r="M760" t="str">
        <f t="shared" si="87"/>
        <v/>
      </c>
      <c r="N760" t="str">
        <f t="shared" si="84"/>
        <v/>
      </c>
    </row>
    <row r="761" spans="1:14" ht="15" thickBot="1">
      <c r="A761" s="231">
        <v>46265</v>
      </c>
      <c r="B761" s="428" t="s">
        <v>473</v>
      </c>
      <c r="C761" s="24">
        <v>1605.58</v>
      </c>
      <c r="D761" s="235">
        <v>1487658.14</v>
      </c>
      <c r="E761" s="234"/>
      <c r="F761" s="234"/>
      <c r="G761" s="153">
        <f t="shared" si="90"/>
        <v>3565865.2799999956</v>
      </c>
      <c r="H761" s="430" t="s">
        <v>10</v>
      </c>
      <c r="I761" s="412" t="s">
        <v>116</v>
      </c>
      <c r="J761" s="501" t="s">
        <v>121</v>
      </c>
      <c r="K761" s="14"/>
      <c r="L761" s="412" t="s">
        <v>437</v>
      </c>
      <c r="M761" t="str">
        <f t="shared" si="87"/>
        <v/>
      </c>
      <c r="N761" t="str">
        <f t="shared" si="84"/>
        <v/>
      </c>
    </row>
    <row r="762" spans="1:14" ht="15" thickBot="1">
      <c r="A762" s="231">
        <v>46265</v>
      </c>
      <c r="B762" s="428" t="s">
        <v>31</v>
      </c>
      <c r="C762" s="24">
        <v>5.59</v>
      </c>
      <c r="D762" s="235">
        <v>4462.97</v>
      </c>
      <c r="E762" s="234"/>
      <c r="F762" s="234"/>
      <c r="G762" s="153">
        <f t="shared" si="90"/>
        <v>3561402.3099999954</v>
      </c>
      <c r="H762" s="430" t="s">
        <v>25</v>
      </c>
      <c r="I762" s="412" t="s">
        <v>116</v>
      </c>
      <c r="J762" s="412" t="s">
        <v>117</v>
      </c>
      <c r="K762" s="14"/>
      <c r="L762" s="412" t="s">
        <v>437</v>
      </c>
      <c r="M762" t="str">
        <f t="shared" si="87"/>
        <v/>
      </c>
      <c r="N762" t="str">
        <f t="shared" si="84"/>
        <v/>
      </c>
    </row>
    <row r="763" spans="1:14" ht="29.5" thickBot="1">
      <c r="A763" s="231">
        <v>46265</v>
      </c>
      <c r="B763" s="429" t="s">
        <v>474</v>
      </c>
      <c r="C763" s="24">
        <v>13.73</v>
      </c>
      <c r="D763" s="235">
        <v>12719.98</v>
      </c>
      <c r="E763" s="234"/>
      <c r="F763" s="234"/>
      <c r="G763" s="153">
        <f t="shared" si="90"/>
        <v>3548682.3299999954</v>
      </c>
      <c r="H763" s="430" t="s">
        <v>10</v>
      </c>
      <c r="I763" s="500" t="s">
        <v>119</v>
      </c>
      <c r="J763" s="501" t="s">
        <v>443</v>
      </c>
      <c r="K763" s="14"/>
      <c r="L763" s="412" t="s">
        <v>437</v>
      </c>
      <c r="M763" t="str">
        <f t="shared" si="87"/>
        <v/>
      </c>
      <c r="N763" t="str">
        <f t="shared" si="84"/>
        <v/>
      </c>
    </row>
    <row r="764" spans="1:14" ht="15" thickBot="1">
      <c r="A764" s="431">
        <v>46265</v>
      </c>
      <c r="B764" s="435" t="s">
        <v>31</v>
      </c>
      <c r="C764" s="433">
        <v>0.04</v>
      </c>
      <c r="D764" s="432">
        <v>38.15</v>
      </c>
      <c r="F764" s="112"/>
      <c r="G764" s="434">
        <f t="shared" si="90"/>
        <v>3548644.1799999955</v>
      </c>
      <c r="H764" s="436" t="s">
        <v>25</v>
      </c>
      <c r="I764" s="412" t="s">
        <v>116</v>
      </c>
      <c r="J764" s="412" t="s">
        <v>117</v>
      </c>
      <c r="K764" s="14"/>
      <c r="L764" s="412" t="s">
        <v>437</v>
      </c>
      <c r="M764" t="str">
        <f t="shared" si="87"/>
        <v/>
      </c>
      <c r="N764" t="str">
        <f t="shared" si="84"/>
        <v/>
      </c>
    </row>
    <row r="765" spans="1:14" ht="15" thickBot="1">
      <c r="A765" s="231">
        <v>46265</v>
      </c>
      <c r="B765" s="451" t="s">
        <v>463</v>
      </c>
      <c r="C765" s="235"/>
      <c r="D765" s="24">
        <v>75.87</v>
      </c>
      <c r="E765" s="14"/>
      <c r="F765" s="15"/>
      <c r="G765" s="153">
        <f>G764-D765</f>
        <v>3548568.3099999954</v>
      </c>
      <c r="H765" s="499" t="s">
        <v>25</v>
      </c>
      <c r="I765" s="412" t="s">
        <v>116</v>
      </c>
      <c r="J765" s="412" t="s">
        <v>117</v>
      </c>
      <c r="K765" s="14"/>
      <c r="L765" s="412" t="s">
        <v>437</v>
      </c>
      <c r="M765" t="str">
        <f t="shared" si="87"/>
        <v/>
      </c>
      <c r="N765" t="str">
        <f t="shared" si="84"/>
        <v/>
      </c>
    </row>
    <row r="766" spans="1:14" ht="15" thickBot="1">
      <c r="A766" s="69">
        <v>46266</v>
      </c>
      <c r="B766" s="70" t="s">
        <v>545</v>
      </c>
      <c r="C766" s="358"/>
      <c r="D766" s="70"/>
      <c r="E766" s="358">
        <v>26.88</v>
      </c>
      <c r="F766" s="72">
        <v>21701.67</v>
      </c>
      <c r="G766" s="74">
        <v>3570184.02</v>
      </c>
      <c r="H766" s="359" t="s">
        <v>13</v>
      </c>
      <c r="I766" s="500" t="s">
        <v>127</v>
      </c>
      <c r="J766" s="519" t="s">
        <v>738</v>
      </c>
      <c r="K766" s="502" t="s">
        <v>127</v>
      </c>
      <c r="L766" s="412"/>
      <c r="M766" t="str">
        <f t="shared" si="87"/>
        <v/>
      </c>
      <c r="N766" t="str">
        <f t="shared" si="84"/>
        <v/>
      </c>
    </row>
    <row r="767" spans="1:14" ht="15" thickBot="1">
      <c r="A767" s="69">
        <v>46266</v>
      </c>
      <c r="B767" s="70" t="s">
        <v>460</v>
      </c>
      <c r="C767" s="358"/>
      <c r="D767" s="72"/>
      <c r="E767" s="72">
        <v>6.72</v>
      </c>
      <c r="F767" s="72">
        <v>5425.42</v>
      </c>
      <c r="G767" s="74">
        <f>G766+F767</f>
        <v>3575609.44</v>
      </c>
      <c r="H767" s="359" t="s">
        <v>13</v>
      </c>
      <c r="I767" s="500" t="s">
        <v>127</v>
      </c>
      <c r="J767" s="519" t="s">
        <v>738</v>
      </c>
      <c r="K767" s="502" t="s">
        <v>127</v>
      </c>
      <c r="L767" s="15"/>
      <c r="M767" t="str">
        <f t="shared" si="87"/>
        <v/>
      </c>
      <c r="N767" t="str">
        <f t="shared" si="84"/>
        <v/>
      </c>
    </row>
    <row r="768" spans="1:14" ht="15" thickBot="1">
      <c r="A768" s="454">
        <v>46266</v>
      </c>
      <c r="B768" s="363" t="s">
        <v>309</v>
      </c>
      <c r="C768" s="244">
        <v>0.35</v>
      </c>
      <c r="D768" s="246">
        <v>325.52</v>
      </c>
      <c r="E768" s="453"/>
      <c r="F768" s="452"/>
      <c r="G768" s="245">
        <f>G767-D768</f>
        <v>3575283.92</v>
      </c>
      <c r="H768" s="455" t="s">
        <v>25</v>
      </c>
      <c r="I768" s="412" t="s">
        <v>116</v>
      </c>
      <c r="J768" s="412" t="s">
        <v>117</v>
      </c>
      <c r="K768" s="14"/>
      <c r="L768" s="412" t="s">
        <v>437</v>
      </c>
      <c r="M768" t="str">
        <f t="shared" si="87"/>
        <v/>
      </c>
      <c r="N768" t="str">
        <f t="shared" si="84"/>
        <v/>
      </c>
    </row>
    <row r="769" spans="1:14" ht="15" thickBot="1">
      <c r="A769" s="454">
        <v>46266</v>
      </c>
      <c r="B769" s="363" t="s">
        <v>309</v>
      </c>
      <c r="C769" s="247">
        <v>0.09</v>
      </c>
      <c r="D769" s="247">
        <v>81.38</v>
      </c>
      <c r="E769" s="234"/>
      <c r="F769" s="357"/>
      <c r="G769" s="245">
        <f>G768-D769</f>
        <v>3575202.54</v>
      </c>
      <c r="H769" s="455" t="s">
        <v>25</v>
      </c>
      <c r="I769" s="412" t="s">
        <v>116</v>
      </c>
      <c r="J769" s="412" t="s">
        <v>117</v>
      </c>
      <c r="K769" s="14"/>
      <c r="L769" s="412" t="s">
        <v>437</v>
      </c>
      <c r="M769" t="str">
        <f t="shared" si="87"/>
        <v/>
      </c>
      <c r="N769" t="str">
        <f t="shared" si="84"/>
        <v/>
      </c>
    </row>
    <row r="770" spans="1:14" ht="15" thickBot="1">
      <c r="A770" s="69">
        <v>46266</v>
      </c>
      <c r="B770" s="70" t="s">
        <v>546</v>
      </c>
      <c r="C770" s="70"/>
      <c r="D770" s="72"/>
      <c r="E770" s="70"/>
      <c r="F770" s="72">
        <v>4160240.46</v>
      </c>
      <c r="G770" s="74">
        <f>G769+F770</f>
        <v>7735443</v>
      </c>
      <c r="H770" s="359" t="s">
        <v>10</v>
      </c>
      <c r="I770" s="500" t="s">
        <v>127</v>
      </c>
      <c r="J770" s="519" t="s">
        <v>737</v>
      </c>
      <c r="K770" s="502" t="s">
        <v>127</v>
      </c>
      <c r="L770" s="15"/>
      <c r="M770" t="str">
        <f t="shared" si="87"/>
        <v/>
      </c>
      <c r="N770" t="str">
        <f t="shared" si="84"/>
        <v/>
      </c>
    </row>
    <row r="771" spans="1:14" ht="29.5" thickBot="1">
      <c r="A771" s="231">
        <v>46266</v>
      </c>
      <c r="B771" s="503" t="s">
        <v>697</v>
      </c>
      <c r="C771" s="24">
        <v>110.59</v>
      </c>
      <c r="D771" s="235">
        <v>103782.38</v>
      </c>
      <c r="E771" s="234"/>
      <c r="F771" s="234"/>
      <c r="G771" s="245">
        <f>G770-D771</f>
        <v>7631660.6200000001</v>
      </c>
      <c r="H771" s="457" t="s">
        <v>10</v>
      </c>
      <c r="I771" s="500" t="s">
        <v>119</v>
      </c>
      <c r="J771" s="501" t="s">
        <v>128</v>
      </c>
      <c r="K771" s="14"/>
      <c r="L771" s="412" t="s">
        <v>437</v>
      </c>
      <c r="M771" t="str">
        <f t="shared" si="87"/>
        <v/>
      </c>
      <c r="N771" t="str">
        <f t="shared" si="84"/>
        <v/>
      </c>
    </row>
    <row r="772" spans="1:14" ht="15" thickBot="1">
      <c r="A772" s="454">
        <v>46266</v>
      </c>
      <c r="B772" s="451" t="s">
        <v>31</v>
      </c>
      <c r="C772" s="246">
        <v>0.33</v>
      </c>
      <c r="D772" s="277">
        <v>311.33999999999997</v>
      </c>
      <c r="E772" s="458"/>
      <c r="F772" s="459"/>
      <c r="G772" s="245">
        <f>G771-D772</f>
        <v>7631349.2800000003</v>
      </c>
      <c r="H772" s="457" t="s">
        <v>25</v>
      </c>
      <c r="I772" s="412" t="s">
        <v>116</v>
      </c>
      <c r="J772" s="412" t="s">
        <v>117</v>
      </c>
      <c r="K772" s="14"/>
      <c r="L772" s="412" t="s">
        <v>437</v>
      </c>
      <c r="M772" t="str">
        <f t="shared" si="87"/>
        <v/>
      </c>
      <c r="N772" t="str">
        <f t="shared" ref="N772:N835" si="91">IF(C772="","",IF(C772=D772,"OJOOO",""))</f>
        <v/>
      </c>
    </row>
    <row r="773" spans="1:14" ht="15" thickBot="1">
      <c r="A773" s="454">
        <v>46266</v>
      </c>
      <c r="B773" s="451" t="s">
        <v>548</v>
      </c>
      <c r="C773" s="246">
        <v>427.04</v>
      </c>
      <c r="D773" s="246">
        <v>400759.65</v>
      </c>
      <c r="E773" s="458"/>
      <c r="F773" s="459"/>
      <c r="G773" s="245">
        <f>G772-D773</f>
        <v>7230589.6299999999</v>
      </c>
      <c r="H773" s="457" t="s">
        <v>10</v>
      </c>
      <c r="I773" s="500" t="s">
        <v>119</v>
      </c>
      <c r="J773" s="501" t="s">
        <v>120</v>
      </c>
      <c r="K773" s="14"/>
      <c r="L773" s="412" t="s">
        <v>437</v>
      </c>
      <c r="M773" t="str">
        <f t="shared" si="87"/>
        <v/>
      </c>
      <c r="N773" t="str">
        <f t="shared" si="91"/>
        <v/>
      </c>
    </row>
    <row r="774" spans="1:14" ht="15" thickBot="1">
      <c r="A774" s="454">
        <v>46266</v>
      </c>
      <c r="B774" s="451" t="s">
        <v>31</v>
      </c>
      <c r="C774" s="246">
        <v>1.28</v>
      </c>
      <c r="D774" s="461">
        <v>1202.27</v>
      </c>
      <c r="E774" s="452"/>
      <c r="F774" s="460"/>
      <c r="G774" s="245">
        <f t="shared" ref="G774:G776" si="92">G773-D774</f>
        <v>7229387.3600000003</v>
      </c>
      <c r="H774" s="462" t="s">
        <v>25</v>
      </c>
      <c r="I774" s="412" t="s">
        <v>116</v>
      </c>
      <c r="J774" s="412" t="s">
        <v>117</v>
      </c>
      <c r="K774" s="14"/>
      <c r="L774" s="412" t="s">
        <v>437</v>
      </c>
      <c r="M774" t="str">
        <f t="shared" si="87"/>
        <v/>
      </c>
      <c r="N774" t="str">
        <f t="shared" si="91"/>
        <v/>
      </c>
    </row>
    <row r="775" spans="1:14" ht="15" thickBot="1">
      <c r="A775" s="231">
        <v>46266</v>
      </c>
      <c r="B775" s="463" t="s">
        <v>549</v>
      </c>
      <c r="C775" s="24">
        <v>40.39</v>
      </c>
      <c r="D775" s="235">
        <v>37903.4</v>
      </c>
      <c r="E775" s="234"/>
      <c r="F775" s="234"/>
      <c r="G775" s="245">
        <f t="shared" si="92"/>
        <v>7191483.96</v>
      </c>
      <c r="H775" s="462" t="s">
        <v>10</v>
      </c>
      <c r="I775" s="500" t="s">
        <v>119</v>
      </c>
      <c r="J775" s="501" t="s">
        <v>128</v>
      </c>
      <c r="K775" s="14"/>
      <c r="L775" s="412" t="s">
        <v>437</v>
      </c>
      <c r="M775" t="str">
        <f t="shared" si="87"/>
        <v/>
      </c>
      <c r="N775" t="str">
        <f t="shared" si="91"/>
        <v/>
      </c>
    </row>
    <row r="776" spans="1:14" ht="15" thickBot="1">
      <c r="A776" s="231">
        <v>46266</v>
      </c>
      <c r="B776" s="451" t="s">
        <v>31</v>
      </c>
      <c r="C776" s="24">
        <v>0.12</v>
      </c>
      <c r="D776" s="235">
        <v>113.71</v>
      </c>
      <c r="E776" s="234"/>
      <c r="F776" s="234"/>
      <c r="G776" s="245">
        <f t="shared" si="92"/>
        <v>7191370.25</v>
      </c>
      <c r="H776" s="462" t="s">
        <v>25</v>
      </c>
      <c r="I776" s="412" t="s">
        <v>116</v>
      </c>
      <c r="J776" s="412" t="s">
        <v>117</v>
      </c>
      <c r="K776" s="14"/>
      <c r="L776" s="412" t="s">
        <v>437</v>
      </c>
      <c r="M776" t="str">
        <f t="shared" si="87"/>
        <v/>
      </c>
      <c r="N776" t="str">
        <f t="shared" si="91"/>
        <v/>
      </c>
    </row>
    <row r="777" spans="1:14" ht="15" thickBot="1">
      <c r="A777" s="69">
        <v>46267</v>
      </c>
      <c r="B777" s="70" t="s">
        <v>550</v>
      </c>
      <c r="C777" s="72"/>
      <c r="D777" s="73"/>
      <c r="E777" s="70">
        <v>26.12</v>
      </c>
      <c r="F777" s="72">
        <v>24516.61</v>
      </c>
      <c r="G777" s="74">
        <f>G776+F777</f>
        <v>7215886.8600000003</v>
      </c>
      <c r="H777" s="359" t="s">
        <v>13</v>
      </c>
      <c r="I777" s="500" t="s">
        <v>127</v>
      </c>
      <c r="J777" s="519" t="s">
        <v>738</v>
      </c>
      <c r="K777" s="14"/>
      <c r="L777" s="412" t="s">
        <v>437</v>
      </c>
      <c r="M777" t="str">
        <f t="shared" si="87"/>
        <v/>
      </c>
      <c r="N777" t="str">
        <f t="shared" si="91"/>
        <v/>
      </c>
    </row>
    <row r="778" spans="1:14" ht="15" thickBot="1">
      <c r="A778" s="69">
        <v>46267</v>
      </c>
      <c r="B778" s="70" t="s">
        <v>464</v>
      </c>
      <c r="C778" s="72"/>
      <c r="D778" s="73"/>
      <c r="E778" s="72">
        <v>23.22</v>
      </c>
      <c r="F778" s="72">
        <v>21792.54</v>
      </c>
      <c r="G778" s="74">
        <f>G777+F778</f>
        <v>7237679.4000000004</v>
      </c>
      <c r="H778" s="75" t="s">
        <v>13</v>
      </c>
      <c r="I778" s="500" t="s">
        <v>127</v>
      </c>
      <c r="J778" s="519" t="s">
        <v>738</v>
      </c>
      <c r="K778" s="14"/>
      <c r="L778" s="412" t="s">
        <v>437</v>
      </c>
      <c r="M778" t="str">
        <f t="shared" si="87"/>
        <v/>
      </c>
      <c r="N778" t="str">
        <f t="shared" si="91"/>
        <v/>
      </c>
    </row>
    <row r="779" spans="1:14" ht="15" thickBot="1">
      <c r="A779" s="465">
        <v>46267</v>
      </c>
      <c r="B779" s="363" t="s">
        <v>309</v>
      </c>
      <c r="C779" s="246">
        <v>0.39</v>
      </c>
      <c r="D779" s="244">
        <v>367.74</v>
      </c>
      <c r="E779" s="452"/>
      <c r="F779" s="452"/>
      <c r="G779" s="245">
        <f>G778-D779</f>
        <v>7237311.6600000001</v>
      </c>
      <c r="H779" s="464" t="s">
        <v>25</v>
      </c>
      <c r="I779" s="412" t="s">
        <v>116</v>
      </c>
      <c r="J779" s="412" t="s">
        <v>117</v>
      </c>
      <c r="K779" s="14"/>
      <c r="L779" s="412" t="s">
        <v>437</v>
      </c>
      <c r="M779" t="str">
        <f t="shared" si="87"/>
        <v/>
      </c>
      <c r="N779" t="str">
        <f t="shared" si="91"/>
        <v/>
      </c>
    </row>
    <row r="780" spans="1:14" ht="15" thickBot="1">
      <c r="A780" s="281">
        <v>46267</v>
      </c>
      <c r="B780" s="363" t="s">
        <v>309</v>
      </c>
      <c r="C780" s="246">
        <v>0.35</v>
      </c>
      <c r="D780" s="244">
        <v>326.88</v>
      </c>
      <c r="E780" s="236"/>
      <c r="F780" s="236"/>
      <c r="G780" s="245">
        <f t="shared" ref="G780:G786" si="93">G779-D780</f>
        <v>7236984.7800000003</v>
      </c>
      <c r="H780" s="464" t="s">
        <v>25</v>
      </c>
      <c r="I780" s="412" t="s">
        <v>116</v>
      </c>
      <c r="J780" s="412" t="s">
        <v>117</v>
      </c>
      <c r="K780" s="14"/>
      <c r="L780" s="412" t="s">
        <v>437</v>
      </c>
      <c r="M780" t="str">
        <f t="shared" si="87"/>
        <v/>
      </c>
      <c r="N780" t="str">
        <f t="shared" si="91"/>
        <v/>
      </c>
    </row>
    <row r="781" spans="1:14" ht="15" thickBot="1">
      <c r="A781" s="281">
        <v>46267</v>
      </c>
      <c r="B781" s="467" t="s">
        <v>551</v>
      </c>
      <c r="C781" s="246">
        <v>253.72</v>
      </c>
      <c r="D781" s="244">
        <v>240352.56</v>
      </c>
      <c r="E781" s="150"/>
      <c r="F781" s="150"/>
      <c r="G781" s="245">
        <f t="shared" si="93"/>
        <v>6996632.2200000007</v>
      </c>
      <c r="H781" s="468" t="s">
        <v>10</v>
      </c>
      <c r="I781" s="500" t="s">
        <v>119</v>
      </c>
      <c r="J781" s="501" t="s">
        <v>128</v>
      </c>
      <c r="K781" s="14"/>
      <c r="L781" s="412" t="s">
        <v>437</v>
      </c>
      <c r="M781" t="str">
        <f t="shared" si="87"/>
        <v/>
      </c>
      <c r="N781" t="str">
        <f t="shared" si="91"/>
        <v/>
      </c>
    </row>
    <row r="782" spans="1:14" ht="15" thickBot="1">
      <c r="A782" s="281">
        <v>46267</v>
      </c>
      <c r="B782" s="466" t="s">
        <v>31</v>
      </c>
      <c r="C782" s="246">
        <v>0.76</v>
      </c>
      <c r="D782" s="244">
        <v>721.05</v>
      </c>
      <c r="E782" s="150"/>
      <c r="F782" s="150"/>
      <c r="G782" s="245">
        <f t="shared" si="93"/>
        <v>6995911.1700000009</v>
      </c>
      <c r="H782" s="464" t="s">
        <v>25</v>
      </c>
      <c r="I782" s="412" t="s">
        <v>116</v>
      </c>
      <c r="J782" s="412" t="s">
        <v>117</v>
      </c>
      <c r="K782" s="14"/>
      <c r="L782" s="412" t="s">
        <v>437</v>
      </c>
      <c r="M782" t="str">
        <f t="shared" si="87"/>
        <v/>
      </c>
      <c r="N782" t="str">
        <f t="shared" si="91"/>
        <v/>
      </c>
    </row>
    <row r="783" spans="1:14" ht="29.5" thickBot="1">
      <c r="A783" s="281">
        <v>46267</v>
      </c>
      <c r="B783" s="467" t="s">
        <v>553</v>
      </c>
      <c r="C783" s="246">
        <v>1.69</v>
      </c>
      <c r="D783" s="244">
        <v>1604</v>
      </c>
      <c r="E783" s="150"/>
      <c r="F783" s="150"/>
      <c r="G783" s="245">
        <f t="shared" si="93"/>
        <v>6994307.1700000009</v>
      </c>
      <c r="H783" s="468" t="s">
        <v>13</v>
      </c>
      <c r="I783" s="500" t="s">
        <v>116</v>
      </c>
      <c r="J783" s="412" t="s">
        <v>117</v>
      </c>
      <c r="K783" s="14"/>
      <c r="L783" s="412" t="s">
        <v>437</v>
      </c>
      <c r="M783" t="str">
        <f t="shared" si="87"/>
        <v/>
      </c>
      <c r="N783" t="str">
        <f t="shared" si="91"/>
        <v/>
      </c>
    </row>
    <row r="784" spans="1:14" ht="29.5" thickBot="1">
      <c r="A784" s="281">
        <v>46267</v>
      </c>
      <c r="B784" s="467" t="s">
        <v>554</v>
      </c>
      <c r="C784" s="246">
        <v>3.39</v>
      </c>
      <c r="D784" s="244">
        <v>3208</v>
      </c>
      <c r="E784" s="150"/>
      <c r="F784" s="150"/>
      <c r="G784" s="245">
        <f t="shared" si="93"/>
        <v>6991099.1700000009</v>
      </c>
      <c r="H784" s="468" t="s">
        <v>13</v>
      </c>
      <c r="I784" s="500" t="s">
        <v>116</v>
      </c>
      <c r="J784" s="412" t="s">
        <v>117</v>
      </c>
      <c r="K784" s="14"/>
      <c r="L784" s="412" t="s">
        <v>437</v>
      </c>
      <c r="M784" t="str">
        <f t="shared" si="87"/>
        <v/>
      </c>
      <c r="N784" t="str">
        <f t="shared" si="91"/>
        <v/>
      </c>
    </row>
    <row r="785" spans="1:14" ht="29.5" thickBot="1">
      <c r="A785" s="281">
        <v>46267</v>
      </c>
      <c r="B785" s="467" t="s">
        <v>552</v>
      </c>
      <c r="C785" s="246">
        <v>42.29</v>
      </c>
      <c r="D785" s="244">
        <v>40058.76</v>
      </c>
      <c r="E785" s="150"/>
      <c r="F785" s="150"/>
      <c r="G785" s="245">
        <f t="shared" si="93"/>
        <v>6951040.4100000011</v>
      </c>
      <c r="H785" s="468" t="s">
        <v>10</v>
      </c>
      <c r="I785" s="500" t="s">
        <v>119</v>
      </c>
      <c r="J785" s="501" t="s">
        <v>443</v>
      </c>
      <c r="K785" s="14"/>
      <c r="L785" s="412" t="s">
        <v>437</v>
      </c>
      <c r="M785" t="str">
        <f t="shared" si="87"/>
        <v/>
      </c>
      <c r="N785" t="str">
        <f t="shared" si="91"/>
        <v/>
      </c>
    </row>
    <row r="786" spans="1:14" ht="15" thickBot="1">
      <c r="A786" s="281">
        <v>46267</v>
      </c>
      <c r="B786" s="466" t="s">
        <v>31</v>
      </c>
      <c r="C786" s="246">
        <v>0.13</v>
      </c>
      <c r="D786" s="244">
        <v>120.17</v>
      </c>
      <c r="E786" s="150"/>
      <c r="F786" s="150"/>
      <c r="G786" s="245">
        <f t="shared" si="93"/>
        <v>6950920.2400000012</v>
      </c>
      <c r="H786" s="468" t="s">
        <v>25</v>
      </c>
      <c r="I786" s="412" t="s">
        <v>116</v>
      </c>
      <c r="J786" s="412" t="s">
        <v>117</v>
      </c>
      <c r="K786" s="14"/>
      <c r="L786" s="412" t="s">
        <v>437</v>
      </c>
      <c r="M786" t="str">
        <f t="shared" si="87"/>
        <v/>
      </c>
      <c r="N786" t="str">
        <f t="shared" si="91"/>
        <v/>
      </c>
    </row>
    <row r="787" spans="1:14" ht="15" thickBot="1">
      <c r="A787" s="69">
        <v>46268</v>
      </c>
      <c r="B787" s="70" t="s">
        <v>555</v>
      </c>
      <c r="C787" s="72"/>
      <c r="D787" s="73"/>
      <c r="E787" s="70">
        <v>37.49</v>
      </c>
      <c r="F787" s="72">
        <v>35509.800000000003</v>
      </c>
      <c r="G787" s="74">
        <f>G786+F787</f>
        <v>6986430.040000001</v>
      </c>
      <c r="H787" s="75" t="s">
        <v>13</v>
      </c>
      <c r="I787" s="500" t="s">
        <v>127</v>
      </c>
      <c r="J787" s="519" t="s">
        <v>738</v>
      </c>
      <c r="K787" s="14"/>
      <c r="L787" s="412" t="s">
        <v>437</v>
      </c>
      <c r="M787" t="str">
        <f t="shared" si="87"/>
        <v/>
      </c>
      <c r="N787" t="str">
        <f t="shared" si="91"/>
        <v/>
      </c>
    </row>
    <row r="788" spans="1:14" ht="15" thickBot="1">
      <c r="A788" s="69">
        <v>46268</v>
      </c>
      <c r="B788" s="70" t="s">
        <v>465</v>
      </c>
      <c r="C788" s="72"/>
      <c r="D788" s="73"/>
      <c r="E788" s="70">
        <v>23.07</v>
      </c>
      <c r="F788" s="72">
        <v>21852.17</v>
      </c>
      <c r="G788" s="74">
        <f>G787+F788</f>
        <v>7008282.2100000009</v>
      </c>
      <c r="H788" s="75" t="s">
        <v>13</v>
      </c>
      <c r="I788" s="500" t="s">
        <v>127</v>
      </c>
      <c r="J788" s="519" t="s">
        <v>738</v>
      </c>
      <c r="K788" s="14"/>
      <c r="L788" s="412" t="s">
        <v>437</v>
      </c>
      <c r="M788" t="str">
        <f t="shared" ref="M788:M851" si="94">IF(E788="","",IF(E788=F788,"OJOOO",""))</f>
        <v/>
      </c>
      <c r="N788" t="str">
        <f t="shared" si="91"/>
        <v/>
      </c>
    </row>
    <row r="789" spans="1:14" ht="15" thickBot="1">
      <c r="A789" s="281">
        <v>46268</v>
      </c>
      <c r="B789" s="363" t="s">
        <v>309</v>
      </c>
      <c r="C789" s="246">
        <v>0.56000000000000005</v>
      </c>
      <c r="D789" s="244">
        <v>532.64</v>
      </c>
      <c r="E789" s="150"/>
      <c r="F789" s="150"/>
      <c r="G789" s="153">
        <f>G788-D789</f>
        <v>7007749.5700000012</v>
      </c>
      <c r="H789" s="468" t="s">
        <v>25</v>
      </c>
      <c r="I789" s="412" t="s">
        <v>116</v>
      </c>
      <c r="J789" s="412" t="s">
        <v>117</v>
      </c>
      <c r="K789" s="14"/>
      <c r="L789" s="412" t="s">
        <v>437</v>
      </c>
      <c r="M789" t="str">
        <f t="shared" si="94"/>
        <v/>
      </c>
      <c r="N789" t="str">
        <f t="shared" si="91"/>
        <v/>
      </c>
    </row>
    <row r="790" spans="1:14" ht="15" thickBot="1">
      <c r="A790" s="281">
        <v>46268</v>
      </c>
      <c r="B790" s="363" t="s">
        <v>309</v>
      </c>
      <c r="C790" s="246">
        <v>0.35</v>
      </c>
      <c r="D790" s="244">
        <v>327.78</v>
      </c>
      <c r="E790" s="150"/>
      <c r="F790" s="150"/>
      <c r="G790" s="153">
        <f>G789-D790</f>
        <v>7007421.790000001</v>
      </c>
      <c r="H790" s="468" t="s">
        <v>25</v>
      </c>
      <c r="I790" s="412" t="s">
        <v>116</v>
      </c>
      <c r="J790" s="412" t="s">
        <v>117</v>
      </c>
      <c r="K790" s="14"/>
      <c r="L790" s="412" t="s">
        <v>437</v>
      </c>
      <c r="M790" t="str">
        <f t="shared" si="94"/>
        <v/>
      </c>
      <c r="N790" t="str">
        <f t="shared" si="91"/>
        <v/>
      </c>
    </row>
    <row r="791" spans="1:14" ht="15" thickBot="1">
      <c r="A791" s="69">
        <v>46268</v>
      </c>
      <c r="B791" s="70" t="s">
        <v>556</v>
      </c>
      <c r="C791" s="72"/>
      <c r="D791" s="73"/>
      <c r="E791" s="70">
        <v>40.18</v>
      </c>
      <c r="F791" s="72">
        <v>38058.239999999998</v>
      </c>
      <c r="G791" s="74">
        <f>G790+F791</f>
        <v>7045480.0300000012</v>
      </c>
      <c r="H791" s="75" t="s">
        <v>10</v>
      </c>
      <c r="I791" s="500" t="s">
        <v>127</v>
      </c>
      <c r="J791" s="521" t="s">
        <v>740</v>
      </c>
      <c r="K791" s="14"/>
      <c r="L791" s="15"/>
      <c r="M791" t="str">
        <f t="shared" si="94"/>
        <v/>
      </c>
      <c r="N791" t="str">
        <f t="shared" si="91"/>
        <v/>
      </c>
    </row>
    <row r="792" spans="1:14" ht="29.5" thickBot="1">
      <c r="A792" s="281">
        <v>46268</v>
      </c>
      <c r="B792" s="467" t="s">
        <v>557</v>
      </c>
      <c r="C792" s="246">
        <v>59.47</v>
      </c>
      <c r="D792" s="244">
        <v>56336.7</v>
      </c>
      <c r="E792" s="150"/>
      <c r="F792" s="150"/>
      <c r="G792" s="153">
        <f t="shared" ref="G792:G799" si="95">G791-D792</f>
        <v>6989143.330000001</v>
      </c>
      <c r="H792" s="468" t="s">
        <v>10</v>
      </c>
      <c r="I792" s="500" t="s">
        <v>119</v>
      </c>
      <c r="J792" s="501" t="s">
        <v>443</v>
      </c>
      <c r="K792" s="14"/>
      <c r="L792" s="412" t="s">
        <v>437</v>
      </c>
      <c r="M792" t="str">
        <f t="shared" si="94"/>
        <v/>
      </c>
      <c r="N792" t="str">
        <f t="shared" si="91"/>
        <v/>
      </c>
    </row>
    <row r="793" spans="1:14" ht="15" thickBot="1">
      <c r="A793" s="281">
        <v>46268</v>
      </c>
      <c r="B793" s="466" t="s">
        <v>31</v>
      </c>
      <c r="C793" s="246">
        <v>0.18</v>
      </c>
      <c r="D793" s="244">
        <v>169.01</v>
      </c>
      <c r="E793" s="150"/>
      <c r="F793" s="150"/>
      <c r="G793" s="153">
        <f t="shared" si="95"/>
        <v>6988974.3200000012</v>
      </c>
      <c r="H793" s="468" t="s">
        <v>25</v>
      </c>
      <c r="I793" s="412" t="s">
        <v>116</v>
      </c>
      <c r="J793" s="412" t="s">
        <v>117</v>
      </c>
      <c r="K793" s="14"/>
      <c r="L793" s="412" t="s">
        <v>437</v>
      </c>
      <c r="M793" t="str">
        <f t="shared" si="94"/>
        <v/>
      </c>
      <c r="N793" t="str">
        <f t="shared" si="91"/>
        <v/>
      </c>
    </row>
    <row r="794" spans="1:14" ht="15" thickBot="1">
      <c r="A794" s="281">
        <v>46268</v>
      </c>
      <c r="B794" s="466" t="s">
        <v>558</v>
      </c>
      <c r="C794" s="246">
        <v>774.01</v>
      </c>
      <c r="D794" s="244">
        <v>724329.81</v>
      </c>
      <c r="E794" s="150"/>
      <c r="F794" s="150"/>
      <c r="G794" s="153">
        <f t="shared" si="95"/>
        <v>6264644.5100000016</v>
      </c>
      <c r="H794" s="468" t="s">
        <v>10</v>
      </c>
      <c r="I794" s="500" t="s">
        <v>119</v>
      </c>
      <c r="J794" s="501" t="s">
        <v>698</v>
      </c>
      <c r="K794" s="14"/>
      <c r="L794" s="412" t="s">
        <v>437</v>
      </c>
      <c r="M794" t="str">
        <f t="shared" si="94"/>
        <v/>
      </c>
      <c r="N794" t="str">
        <f t="shared" si="91"/>
        <v/>
      </c>
    </row>
    <row r="795" spans="1:14" ht="15" thickBot="1">
      <c r="A795" s="281">
        <v>46268</v>
      </c>
      <c r="B795" s="466" t="s">
        <v>31</v>
      </c>
      <c r="C795" s="246">
        <v>2.29</v>
      </c>
      <c r="D795" s="244">
        <v>2172.98</v>
      </c>
      <c r="E795" s="150"/>
      <c r="F795" s="150"/>
      <c r="G795" s="153">
        <f t="shared" si="95"/>
        <v>6262471.5300000012</v>
      </c>
      <c r="H795" s="468" t="s">
        <v>25</v>
      </c>
      <c r="I795" s="412" t="s">
        <v>116</v>
      </c>
      <c r="J795" s="412" t="s">
        <v>117</v>
      </c>
      <c r="K795" s="14"/>
      <c r="L795" s="412" t="s">
        <v>437</v>
      </c>
      <c r="M795" t="str">
        <f t="shared" si="94"/>
        <v/>
      </c>
      <c r="N795" t="str">
        <f t="shared" si="91"/>
        <v/>
      </c>
    </row>
    <row r="796" spans="1:14" ht="15" thickBot="1">
      <c r="A796" s="281">
        <v>46268</v>
      </c>
      <c r="B796" s="466" t="s">
        <v>559</v>
      </c>
      <c r="C796" s="246">
        <v>3.92</v>
      </c>
      <c r="D796" s="244">
        <v>3717.26</v>
      </c>
      <c r="E796" s="150"/>
      <c r="F796" s="150"/>
      <c r="G796" s="153">
        <f t="shared" si="95"/>
        <v>6258754.2700000014</v>
      </c>
      <c r="H796" s="468" t="s">
        <v>13</v>
      </c>
      <c r="I796" s="500" t="s">
        <v>119</v>
      </c>
      <c r="J796" s="501" t="s">
        <v>128</v>
      </c>
      <c r="K796" s="14"/>
      <c r="L796" s="412" t="s">
        <v>437</v>
      </c>
      <c r="M796" t="str">
        <f t="shared" si="94"/>
        <v/>
      </c>
      <c r="N796" t="str">
        <f t="shared" si="91"/>
        <v/>
      </c>
    </row>
    <row r="797" spans="1:14" ht="15" thickBot="1">
      <c r="A797" s="281">
        <v>46268</v>
      </c>
      <c r="B797" s="466" t="s">
        <v>560</v>
      </c>
      <c r="C797" s="246">
        <v>11.81</v>
      </c>
      <c r="D797" s="244">
        <v>11184.28</v>
      </c>
      <c r="E797" s="150"/>
      <c r="F797" s="150"/>
      <c r="G797" s="153">
        <f t="shared" si="95"/>
        <v>6247569.9900000012</v>
      </c>
      <c r="H797" s="468" t="s">
        <v>13</v>
      </c>
      <c r="I797" s="500" t="s">
        <v>119</v>
      </c>
      <c r="J797" s="501" t="s">
        <v>128</v>
      </c>
      <c r="K797" s="14"/>
      <c r="L797" s="412" t="s">
        <v>437</v>
      </c>
      <c r="M797" t="str">
        <f t="shared" si="94"/>
        <v/>
      </c>
      <c r="N797" t="str">
        <f t="shared" si="91"/>
        <v/>
      </c>
    </row>
    <row r="798" spans="1:14" ht="15" thickBot="1">
      <c r="A798" s="281">
        <v>46268</v>
      </c>
      <c r="B798" s="466" t="s">
        <v>561</v>
      </c>
      <c r="C798" s="246">
        <v>71.34</v>
      </c>
      <c r="D798" s="244">
        <v>67581.600000000006</v>
      </c>
      <c r="E798" s="150"/>
      <c r="F798" s="150"/>
      <c r="G798" s="153">
        <f t="shared" si="95"/>
        <v>6179988.3900000015</v>
      </c>
      <c r="H798" s="468" t="s">
        <v>13</v>
      </c>
      <c r="I798" s="500" t="s">
        <v>119</v>
      </c>
      <c r="J798" s="501" t="s">
        <v>128</v>
      </c>
      <c r="K798" s="14"/>
      <c r="L798" s="412" t="s">
        <v>437</v>
      </c>
      <c r="M798" t="str">
        <f t="shared" si="94"/>
        <v/>
      </c>
      <c r="N798" t="str">
        <f t="shared" si="91"/>
        <v/>
      </c>
    </row>
    <row r="799" spans="1:14" ht="15" thickBot="1">
      <c r="A799" s="281">
        <v>46268</v>
      </c>
      <c r="B799" s="466" t="s">
        <v>562</v>
      </c>
      <c r="C799" s="246">
        <v>34.94</v>
      </c>
      <c r="D799" s="244">
        <v>33096.160000000003</v>
      </c>
      <c r="E799" s="150"/>
      <c r="F799" s="150"/>
      <c r="G799" s="153">
        <f t="shared" si="95"/>
        <v>6146892.2300000014</v>
      </c>
      <c r="H799" s="468" t="s">
        <v>13</v>
      </c>
      <c r="I799" s="500" t="s">
        <v>119</v>
      </c>
      <c r="J799" s="501" t="s">
        <v>128</v>
      </c>
      <c r="K799" s="14"/>
      <c r="L799" s="412" t="s">
        <v>437</v>
      </c>
      <c r="M799" t="str">
        <f t="shared" si="94"/>
        <v/>
      </c>
      <c r="N799" t="str">
        <f t="shared" si="91"/>
        <v/>
      </c>
    </row>
    <row r="800" spans="1:14" ht="15" thickBot="1">
      <c r="A800" s="69">
        <v>46269</v>
      </c>
      <c r="B800" s="70" t="s">
        <v>545</v>
      </c>
      <c r="C800" s="72"/>
      <c r="D800" s="73"/>
      <c r="E800" s="70">
        <v>17.079999999999998</v>
      </c>
      <c r="F800" s="72">
        <v>16454.71</v>
      </c>
      <c r="G800" s="74">
        <f>G799+F800</f>
        <v>6163346.9400000013</v>
      </c>
      <c r="H800" s="75" t="s">
        <v>13</v>
      </c>
      <c r="I800" s="500" t="s">
        <v>127</v>
      </c>
      <c r="J800" s="519" t="s">
        <v>738</v>
      </c>
      <c r="K800" s="14"/>
      <c r="L800" s="412" t="s">
        <v>437</v>
      </c>
      <c r="M800" t="str">
        <f t="shared" si="94"/>
        <v/>
      </c>
      <c r="N800" t="str">
        <f t="shared" si="91"/>
        <v/>
      </c>
    </row>
    <row r="801" spans="1:14" ht="15" thickBot="1">
      <c r="A801" s="69">
        <v>46269</v>
      </c>
      <c r="B801" s="70" t="s">
        <v>550</v>
      </c>
      <c r="C801" s="72"/>
      <c r="D801" s="73"/>
      <c r="E801" s="72">
        <v>2.85</v>
      </c>
      <c r="F801" s="72">
        <v>2742.46</v>
      </c>
      <c r="G801" s="74">
        <f>G800+F801</f>
        <v>6166089.4000000013</v>
      </c>
      <c r="H801" s="75" t="s">
        <v>13</v>
      </c>
      <c r="I801" s="500" t="s">
        <v>127</v>
      </c>
      <c r="J801" s="519" t="s">
        <v>738</v>
      </c>
      <c r="K801" s="14"/>
      <c r="L801" s="412" t="s">
        <v>437</v>
      </c>
      <c r="M801" t="str">
        <f t="shared" si="94"/>
        <v/>
      </c>
      <c r="N801" t="str">
        <f t="shared" si="91"/>
        <v/>
      </c>
    </row>
    <row r="802" spans="1:14" ht="15" thickBot="1">
      <c r="A802" s="281">
        <v>46269</v>
      </c>
      <c r="B802" s="363" t="s">
        <v>309</v>
      </c>
      <c r="C802" s="246">
        <v>0.25</v>
      </c>
      <c r="D802" s="244">
        <v>246.82</v>
      </c>
      <c r="E802" s="150"/>
      <c r="F802" s="150"/>
      <c r="G802" s="153">
        <f>G801-D802</f>
        <v>6165842.580000001</v>
      </c>
      <c r="H802" s="469" t="s">
        <v>25</v>
      </c>
      <c r="I802" s="412" t="s">
        <v>116</v>
      </c>
      <c r="J802" s="412" t="s">
        <v>117</v>
      </c>
      <c r="K802" s="14"/>
      <c r="L802" s="412" t="s">
        <v>437</v>
      </c>
      <c r="M802" t="str">
        <f t="shared" si="94"/>
        <v/>
      </c>
      <c r="N802" t="str">
        <f t="shared" si="91"/>
        <v/>
      </c>
    </row>
    <row r="803" spans="1:14" ht="15" thickBot="1">
      <c r="A803" s="69">
        <v>46269</v>
      </c>
      <c r="B803" s="70" t="s">
        <v>563</v>
      </c>
      <c r="C803" s="72"/>
      <c r="D803" s="73"/>
      <c r="E803" s="70">
        <v>11.21</v>
      </c>
      <c r="F803" s="72">
        <v>10959.11</v>
      </c>
      <c r="G803" s="74">
        <f>G802+F803</f>
        <v>6176801.6900000013</v>
      </c>
      <c r="H803" s="75" t="s">
        <v>13</v>
      </c>
      <c r="I803" s="500" t="s">
        <v>127</v>
      </c>
      <c r="J803" s="519" t="s">
        <v>738</v>
      </c>
      <c r="K803" s="14"/>
      <c r="L803" s="412" t="s">
        <v>437</v>
      </c>
      <c r="M803" t="str">
        <f t="shared" si="94"/>
        <v/>
      </c>
      <c r="N803" t="str">
        <f t="shared" si="91"/>
        <v/>
      </c>
    </row>
    <row r="804" spans="1:14" ht="15" thickBot="1">
      <c r="A804" s="69">
        <v>46269</v>
      </c>
      <c r="B804" s="70" t="s">
        <v>564</v>
      </c>
      <c r="C804" s="72"/>
      <c r="D804" s="73"/>
      <c r="E804" s="70">
        <v>5.61</v>
      </c>
      <c r="F804" s="72">
        <v>5484.91</v>
      </c>
      <c r="G804" s="74">
        <f>G803+F804</f>
        <v>6182286.6000000015</v>
      </c>
      <c r="H804" s="75" t="s">
        <v>13</v>
      </c>
      <c r="I804" s="500" t="s">
        <v>127</v>
      </c>
      <c r="J804" s="519" t="s">
        <v>738</v>
      </c>
      <c r="K804" s="14"/>
      <c r="L804" s="412" t="s">
        <v>437</v>
      </c>
      <c r="M804" t="str">
        <f t="shared" si="94"/>
        <v/>
      </c>
      <c r="N804" t="str">
        <f t="shared" si="91"/>
        <v/>
      </c>
    </row>
    <row r="805" spans="1:14" ht="15" thickBot="1">
      <c r="A805" s="281">
        <v>46269</v>
      </c>
      <c r="B805" s="363" t="s">
        <v>309</v>
      </c>
      <c r="C805" s="247">
        <v>0.17</v>
      </c>
      <c r="D805" s="244">
        <v>164.38</v>
      </c>
      <c r="E805" s="150"/>
      <c r="F805" s="150"/>
      <c r="G805" s="153">
        <f>G804-D805</f>
        <v>6182122.2200000016</v>
      </c>
      <c r="H805" s="469" t="s">
        <v>25</v>
      </c>
      <c r="I805" s="412" t="s">
        <v>116</v>
      </c>
      <c r="J805" s="412" t="s">
        <v>117</v>
      </c>
      <c r="K805" s="14"/>
      <c r="L805" s="412" t="s">
        <v>437</v>
      </c>
      <c r="M805" t="str">
        <f t="shared" si="94"/>
        <v/>
      </c>
      <c r="N805" t="str">
        <f t="shared" si="91"/>
        <v/>
      </c>
    </row>
    <row r="806" spans="1:14" ht="15" thickBot="1">
      <c r="A806" s="281">
        <v>46269</v>
      </c>
      <c r="B806" s="363" t="s">
        <v>309</v>
      </c>
      <c r="C806" s="246">
        <v>0.08</v>
      </c>
      <c r="D806" s="244">
        <v>82.27</v>
      </c>
      <c r="E806" s="150"/>
      <c r="F806" s="150"/>
      <c r="G806" s="153">
        <f t="shared" ref="G806:G807" si="96">G805-D806</f>
        <v>6182039.950000002</v>
      </c>
      <c r="H806" s="469" t="s">
        <v>25</v>
      </c>
      <c r="I806" s="412" t="s">
        <v>116</v>
      </c>
      <c r="J806" s="412" t="s">
        <v>117</v>
      </c>
      <c r="K806" s="14"/>
      <c r="L806" s="412" t="s">
        <v>437</v>
      </c>
      <c r="M806" t="str">
        <f t="shared" si="94"/>
        <v/>
      </c>
      <c r="N806" t="str">
        <f t="shared" si="91"/>
        <v/>
      </c>
    </row>
    <row r="807" spans="1:14" ht="15" thickBot="1">
      <c r="A807" s="281">
        <v>46269</v>
      </c>
      <c r="B807" s="363" t="s">
        <v>309</v>
      </c>
      <c r="C807" s="246">
        <v>0.04</v>
      </c>
      <c r="D807" s="244">
        <v>41.13</v>
      </c>
      <c r="E807" s="150"/>
      <c r="F807" s="150"/>
      <c r="G807" s="153">
        <f t="shared" si="96"/>
        <v>6181998.8200000022</v>
      </c>
      <c r="H807" s="469" t="s">
        <v>25</v>
      </c>
      <c r="I807" s="412" t="s">
        <v>116</v>
      </c>
      <c r="J807" s="412" t="s">
        <v>117</v>
      </c>
      <c r="K807" s="14"/>
      <c r="L807" s="412" t="s">
        <v>437</v>
      </c>
      <c r="M807" t="str">
        <f t="shared" si="94"/>
        <v/>
      </c>
      <c r="N807" t="str">
        <f t="shared" si="91"/>
        <v/>
      </c>
    </row>
    <row r="808" spans="1:14" ht="15" thickBot="1">
      <c r="A808" s="69">
        <v>46269</v>
      </c>
      <c r="B808" s="70" t="s">
        <v>565</v>
      </c>
      <c r="C808" s="72"/>
      <c r="D808" s="73"/>
      <c r="E808" s="72">
        <v>73.69</v>
      </c>
      <c r="F808" s="72">
        <v>72058.66</v>
      </c>
      <c r="G808" s="74">
        <f>G807+F808</f>
        <v>6254057.4800000023</v>
      </c>
      <c r="H808" s="75" t="s">
        <v>10</v>
      </c>
      <c r="I808" s="500" t="s">
        <v>127</v>
      </c>
      <c r="J808" s="519" t="s">
        <v>738</v>
      </c>
      <c r="K808" s="14"/>
      <c r="L808" s="412" t="s">
        <v>437</v>
      </c>
      <c r="M808" t="str">
        <f t="shared" si="94"/>
        <v/>
      </c>
      <c r="N808" t="str">
        <f t="shared" si="91"/>
        <v/>
      </c>
    </row>
    <row r="809" spans="1:14" ht="15" thickBot="1">
      <c r="A809" s="69">
        <v>46269</v>
      </c>
      <c r="B809" s="70" t="s">
        <v>566</v>
      </c>
      <c r="C809" s="72"/>
      <c r="D809" s="73"/>
      <c r="E809" s="70">
        <v>11.96</v>
      </c>
      <c r="F809" s="72">
        <v>11697.11</v>
      </c>
      <c r="G809" s="74">
        <f>G808+F809</f>
        <v>6265754.5900000026</v>
      </c>
      <c r="H809" s="75" t="s">
        <v>10</v>
      </c>
      <c r="I809" s="500" t="s">
        <v>127</v>
      </c>
      <c r="J809" s="519" t="s">
        <v>738</v>
      </c>
      <c r="K809" s="14"/>
      <c r="L809" s="412" t="s">
        <v>437</v>
      </c>
      <c r="M809" t="str">
        <f t="shared" si="94"/>
        <v/>
      </c>
      <c r="N809" t="str">
        <f t="shared" si="91"/>
        <v/>
      </c>
    </row>
    <row r="810" spans="1:14" ht="15" thickBot="1">
      <c r="A810" s="281">
        <v>46269</v>
      </c>
      <c r="B810" s="470" t="s">
        <v>567</v>
      </c>
      <c r="C810" s="246">
        <v>37.15</v>
      </c>
      <c r="D810" s="244">
        <v>36332.379999999997</v>
      </c>
      <c r="E810" s="150"/>
      <c r="F810" s="150"/>
      <c r="G810" s="153">
        <f t="shared" ref="G810:G828" si="97">G809-D810</f>
        <v>6229422.2100000028</v>
      </c>
      <c r="H810" s="469" t="s">
        <v>10</v>
      </c>
      <c r="I810" s="500" t="s">
        <v>119</v>
      </c>
      <c r="J810" s="501" t="s">
        <v>129</v>
      </c>
      <c r="K810" s="14"/>
      <c r="L810" s="15"/>
      <c r="M810" t="str">
        <f t="shared" si="94"/>
        <v/>
      </c>
      <c r="N810" t="str">
        <f t="shared" si="91"/>
        <v/>
      </c>
    </row>
    <row r="811" spans="1:14" ht="15" thickBot="1">
      <c r="A811" s="281">
        <v>46269</v>
      </c>
      <c r="B811" s="470" t="s">
        <v>31</v>
      </c>
      <c r="C811" s="246">
        <v>0.11</v>
      </c>
      <c r="D811" s="244">
        <v>108.99</v>
      </c>
      <c r="E811" s="150"/>
      <c r="F811" s="150"/>
      <c r="G811" s="153">
        <f t="shared" si="97"/>
        <v>6229313.2200000025</v>
      </c>
      <c r="H811" s="469" t="s">
        <v>25</v>
      </c>
      <c r="I811" s="412" t="s">
        <v>116</v>
      </c>
      <c r="J811" s="412" t="s">
        <v>117</v>
      </c>
      <c r="K811" s="14"/>
      <c r="L811" s="412" t="s">
        <v>437</v>
      </c>
      <c r="M811" t="str">
        <f t="shared" si="94"/>
        <v/>
      </c>
      <c r="N811" t="str">
        <f t="shared" si="91"/>
        <v/>
      </c>
    </row>
    <row r="812" spans="1:14" ht="15" thickBot="1">
      <c r="A812" s="281">
        <v>46269</v>
      </c>
      <c r="B812" s="471" t="s">
        <v>568</v>
      </c>
      <c r="C812" s="246">
        <v>12.29</v>
      </c>
      <c r="D812" s="244">
        <v>12016.22</v>
      </c>
      <c r="E812" s="150"/>
      <c r="F812" s="150"/>
      <c r="G812" s="153">
        <f t="shared" si="97"/>
        <v>6217297.0000000028</v>
      </c>
      <c r="H812" s="469" t="s">
        <v>13</v>
      </c>
      <c r="I812" s="500" t="s">
        <v>119</v>
      </c>
      <c r="J812" s="501" t="s">
        <v>128</v>
      </c>
      <c r="K812" s="14"/>
      <c r="L812" s="412" t="s">
        <v>437</v>
      </c>
      <c r="M812" t="str">
        <f t="shared" si="94"/>
        <v/>
      </c>
      <c r="N812" t="str">
        <f t="shared" si="91"/>
        <v/>
      </c>
    </row>
    <row r="813" spans="1:14" ht="15" thickBot="1">
      <c r="A813" s="281">
        <v>46269</v>
      </c>
      <c r="B813" s="470" t="s">
        <v>569</v>
      </c>
      <c r="C813" s="246">
        <v>9.66</v>
      </c>
      <c r="D813" s="244">
        <v>9443.24</v>
      </c>
      <c r="E813" s="150"/>
      <c r="F813" s="150"/>
      <c r="G813" s="153">
        <f t="shared" si="97"/>
        <v>6207853.7600000026</v>
      </c>
      <c r="H813" s="469" t="s">
        <v>13</v>
      </c>
      <c r="I813" s="500" t="s">
        <v>119</v>
      </c>
      <c r="J813" s="501" t="s">
        <v>128</v>
      </c>
      <c r="K813" s="14"/>
      <c r="L813" s="412" t="s">
        <v>437</v>
      </c>
      <c r="M813" t="str">
        <f t="shared" si="94"/>
        <v/>
      </c>
      <c r="N813" t="str">
        <f t="shared" si="91"/>
        <v/>
      </c>
    </row>
    <row r="814" spans="1:14" ht="15" thickBot="1">
      <c r="A814" s="281">
        <v>46269</v>
      </c>
      <c r="B814" s="470" t="s">
        <v>570</v>
      </c>
      <c r="C814" s="246">
        <v>102.92</v>
      </c>
      <c r="D814" s="244">
        <v>100641.16</v>
      </c>
      <c r="E814" s="150"/>
      <c r="F814" s="150"/>
      <c r="G814" s="153">
        <f t="shared" si="97"/>
        <v>6107212.6000000024</v>
      </c>
      <c r="H814" s="469" t="s">
        <v>13</v>
      </c>
      <c r="I814" s="500" t="s">
        <v>119</v>
      </c>
      <c r="J814" s="501" t="s">
        <v>128</v>
      </c>
      <c r="K814" s="14"/>
      <c r="L814" s="412" t="s">
        <v>437</v>
      </c>
      <c r="M814" t="str">
        <f t="shared" si="94"/>
        <v/>
      </c>
      <c r="N814" t="str">
        <f t="shared" si="91"/>
        <v/>
      </c>
    </row>
    <row r="815" spans="1:14" ht="15" thickBot="1">
      <c r="A815" s="281">
        <v>46269</v>
      </c>
      <c r="B815" s="470" t="s">
        <v>571</v>
      </c>
      <c r="C815" s="246">
        <v>66.87</v>
      </c>
      <c r="D815" s="244">
        <v>65398.59</v>
      </c>
      <c r="E815" s="150"/>
      <c r="F815" s="150"/>
      <c r="G815" s="153">
        <f t="shared" si="97"/>
        <v>6041814.0100000026</v>
      </c>
      <c r="H815" s="469" t="s">
        <v>13</v>
      </c>
      <c r="I815" s="500" t="s">
        <v>119</v>
      </c>
      <c r="J815" s="501" t="s">
        <v>128</v>
      </c>
      <c r="K815" s="14"/>
      <c r="L815" s="412" t="s">
        <v>437</v>
      </c>
      <c r="M815" t="str">
        <f t="shared" si="94"/>
        <v/>
      </c>
      <c r="N815" t="str">
        <f t="shared" si="91"/>
        <v/>
      </c>
    </row>
    <row r="816" spans="1:14" ht="15" thickBot="1">
      <c r="A816" s="281">
        <v>46269</v>
      </c>
      <c r="B816" s="471" t="s">
        <v>572</v>
      </c>
      <c r="C816" s="246">
        <v>3715.42</v>
      </c>
      <c r="D816" s="244">
        <v>3633237.9</v>
      </c>
      <c r="E816" s="150"/>
      <c r="F816" s="150"/>
      <c r="G816" s="153">
        <f t="shared" si="97"/>
        <v>2408576.1100000027</v>
      </c>
      <c r="H816" s="469" t="s">
        <v>10</v>
      </c>
      <c r="I816" s="500" t="s">
        <v>119</v>
      </c>
      <c r="J816" s="501" t="s">
        <v>120</v>
      </c>
      <c r="K816" s="14"/>
      <c r="L816" s="501" t="s">
        <v>437</v>
      </c>
      <c r="M816" t="str">
        <f t="shared" si="94"/>
        <v/>
      </c>
      <c r="N816" t="str">
        <f t="shared" si="91"/>
        <v/>
      </c>
    </row>
    <row r="817" spans="1:14" ht="15" thickBot="1">
      <c r="A817" s="281">
        <v>46269</v>
      </c>
      <c r="B817" s="470" t="s">
        <v>31</v>
      </c>
      <c r="C817" s="246">
        <v>11.15</v>
      </c>
      <c r="D817" s="244">
        <v>10899.71</v>
      </c>
      <c r="E817" s="150"/>
      <c r="F817" s="150"/>
      <c r="G817" s="153">
        <f t="shared" si="97"/>
        <v>2397676.4000000027</v>
      </c>
      <c r="H817" s="469" t="s">
        <v>25</v>
      </c>
      <c r="I817" s="412" t="s">
        <v>116</v>
      </c>
      <c r="J817" s="412" t="s">
        <v>117</v>
      </c>
      <c r="K817" s="14"/>
      <c r="L817" s="412" t="s">
        <v>437</v>
      </c>
      <c r="M817" t="str">
        <f t="shared" si="94"/>
        <v/>
      </c>
      <c r="N817" t="str">
        <f t="shared" si="91"/>
        <v/>
      </c>
    </row>
    <row r="818" spans="1:14" ht="29.5" thickBot="1">
      <c r="A818" s="281">
        <v>46269</v>
      </c>
      <c r="B818" s="471" t="s">
        <v>573</v>
      </c>
      <c r="C818" s="246">
        <v>123.85</v>
      </c>
      <c r="D818" s="244">
        <v>121107.93</v>
      </c>
      <c r="E818" s="150"/>
      <c r="F818" s="150"/>
      <c r="G818" s="153">
        <f t="shared" si="97"/>
        <v>2276568.4700000025</v>
      </c>
      <c r="H818" s="469" t="s">
        <v>10</v>
      </c>
      <c r="I818" s="522" t="s">
        <v>119</v>
      </c>
      <c r="J818" s="501" t="s">
        <v>121</v>
      </c>
      <c r="K818" s="14"/>
      <c r="L818" s="501" t="s">
        <v>437</v>
      </c>
      <c r="M818" t="str">
        <f t="shared" si="94"/>
        <v/>
      </c>
      <c r="N818" t="str">
        <f t="shared" si="91"/>
        <v/>
      </c>
    </row>
    <row r="819" spans="1:14" ht="15" thickBot="1">
      <c r="A819" s="472">
        <v>46269</v>
      </c>
      <c r="B819" s="470" t="s">
        <v>31</v>
      </c>
      <c r="C819" s="246">
        <v>0.37</v>
      </c>
      <c r="D819" s="244">
        <v>363.32</v>
      </c>
      <c r="E819" s="150"/>
      <c r="F819" s="150"/>
      <c r="G819" s="153">
        <f t="shared" si="97"/>
        <v>2276205.1500000027</v>
      </c>
      <c r="H819" s="469" t="s">
        <v>25</v>
      </c>
      <c r="I819" s="412" t="s">
        <v>116</v>
      </c>
      <c r="J819" s="412" t="s">
        <v>117</v>
      </c>
      <c r="K819" s="14"/>
      <c r="L819" s="412" t="s">
        <v>437</v>
      </c>
      <c r="M819" t="str">
        <f t="shared" si="94"/>
        <v/>
      </c>
      <c r="N819" t="str">
        <f t="shared" si="91"/>
        <v/>
      </c>
    </row>
    <row r="820" spans="1:14" ht="29.5" thickBot="1">
      <c r="A820" s="281">
        <v>46269</v>
      </c>
      <c r="B820" s="471" t="s">
        <v>574</v>
      </c>
      <c r="C820" s="246">
        <v>452.52</v>
      </c>
      <c r="D820" s="244">
        <v>442512.23</v>
      </c>
      <c r="E820" s="150"/>
      <c r="F820" s="150"/>
      <c r="G820" s="153">
        <f t="shared" si="97"/>
        <v>1833692.9200000027</v>
      </c>
      <c r="H820" s="469" t="s">
        <v>10</v>
      </c>
      <c r="I820" s="500" t="s">
        <v>119</v>
      </c>
      <c r="J820" s="501" t="s">
        <v>128</v>
      </c>
      <c r="K820" s="14"/>
      <c r="L820" s="501" t="s">
        <v>437</v>
      </c>
      <c r="M820" t="str">
        <f t="shared" si="94"/>
        <v/>
      </c>
      <c r="N820" t="str">
        <f t="shared" si="91"/>
        <v/>
      </c>
    </row>
    <row r="821" spans="1:14" ht="15" thickBot="1">
      <c r="A821" s="472">
        <v>46269</v>
      </c>
      <c r="B821" s="470" t="s">
        <v>70</v>
      </c>
      <c r="C821" s="246">
        <v>1.36</v>
      </c>
      <c r="D821" s="244">
        <v>1327.53</v>
      </c>
      <c r="E821" s="150"/>
      <c r="F821" s="150"/>
      <c r="G821" s="153">
        <f t="shared" si="97"/>
        <v>1832365.3900000027</v>
      </c>
      <c r="H821" s="469" t="s">
        <v>25</v>
      </c>
      <c r="I821" s="412" t="s">
        <v>116</v>
      </c>
      <c r="J821" s="412" t="s">
        <v>117</v>
      </c>
      <c r="K821" s="14"/>
      <c r="L821" s="412" t="s">
        <v>437</v>
      </c>
      <c r="M821" t="str">
        <f t="shared" si="94"/>
        <v/>
      </c>
      <c r="N821" t="str">
        <f t="shared" si="91"/>
        <v/>
      </c>
    </row>
    <row r="822" spans="1:14" ht="15" thickBot="1">
      <c r="A822" s="281">
        <v>46269</v>
      </c>
      <c r="B822" s="470" t="s">
        <v>575</v>
      </c>
      <c r="C822" s="246">
        <v>14.12</v>
      </c>
      <c r="D822" s="244">
        <v>13806.37</v>
      </c>
      <c r="E822" s="150"/>
      <c r="F822" s="150"/>
      <c r="G822" s="153">
        <f t="shared" si="97"/>
        <v>1818559.0200000026</v>
      </c>
      <c r="H822" s="469" t="s">
        <v>10</v>
      </c>
      <c r="I822" s="500" t="s">
        <v>116</v>
      </c>
      <c r="J822" s="501" t="s">
        <v>269</v>
      </c>
      <c r="K822" s="14"/>
      <c r="L822" s="15"/>
      <c r="M822" t="str">
        <f t="shared" si="94"/>
        <v/>
      </c>
      <c r="N822" t="str">
        <f t="shared" si="91"/>
        <v/>
      </c>
    </row>
    <row r="823" spans="1:14" ht="15" thickBot="1">
      <c r="A823" s="281">
        <v>46269</v>
      </c>
      <c r="B823" s="470" t="s">
        <v>31</v>
      </c>
      <c r="C823" s="246">
        <v>0.04</v>
      </c>
      <c r="D823" s="244">
        <v>41.414000000000001</v>
      </c>
      <c r="E823" s="150"/>
      <c r="F823" s="150"/>
      <c r="G823" s="153">
        <f t="shared" si="97"/>
        <v>1818517.6060000025</v>
      </c>
      <c r="H823" s="469" t="s">
        <v>25</v>
      </c>
      <c r="I823" s="412" t="s">
        <v>116</v>
      </c>
      <c r="J823" s="412" t="s">
        <v>117</v>
      </c>
      <c r="K823" s="14"/>
      <c r="L823" s="412" t="s">
        <v>437</v>
      </c>
      <c r="M823" t="str">
        <f t="shared" si="94"/>
        <v/>
      </c>
      <c r="N823" t="str">
        <f t="shared" si="91"/>
        <v/>
      </c>
    </row>
    <row r="824" spans="1:14" ht="15" thickBot="1">
      <c r="A824" s="281">
        <v>46269</v>
      </c>
      <c r="B824" s="470" t="s">
        <v>576</v>
      </c>
      <c r="C824" s="246">
        <v>33.03</v>
      </c>
      <c r="D824" s="244">
        <v>32295.45</v>
      </c>
      <c r="E824" s="150"/>
      <c r="F824" s="150"/>
      <c r="G824" s="153">
        <f t="shared" si="97"/>
        <v>1786222.1560000025</v>
      </c>
      <c r="H824" s="469" t="s">
        <v>10</v>
      </c>
      <c r="I824" s="522" t="s">
        <v>119</v>
      </c>
      <c r="J824" s="501" t="s">
        <v>121</v>
      </c>
      <c r="K824" s="14"/>
      <c r="L824" s="15"/>
      <c r="M824" t="str">
        <f t="shared" si="94"/>
        <v/>
      </c>
      <c r="N824" t="str">
        <f t="shared" si="91"/>
        <v/>
      </c>
    </row>
    <row r="825" spans="1:14" ht="15" thickBot="1">
      <c r="A825" s="281">
        <v>46269</v>
      </c>
      <c r="B825" s="470" t="s">
        <v>31</v>
      </c>
      <c r="C825" s="246">
        <v>0.12</v>
      </c>
      <c r="D825" s="244">
        <v>96.88</v>
      </c>
      <c r="E825" s="150"/>
      <c r="F825" s="150"/>
      <c r="G825" s="153">
        <f t="shared" si="97"/>
        <v>1786125.2760000026</v>
      </c>
      <c r="H825" s="469" t="s">
        <v>25</v>
      </c>
      <c r="I825" s="412" t="s">
        <v>116</v>
      </c>
      <c r="J825" s="412" t="s">
        <v>117</v>
      </c>
      <c r="K825" s="14"/>
      <c r="L825" s="412" t="s">
        <v>437</v>
      </c>
      <c r="M825" t="str">
        <f t="shared" si="94"/>
        <v/>
      </c>
      <c r="N825" t="str">
        <f t="shared" si="91"/>
        <v/>
      </c>
    </row>
    <row r="826" spans="1:14" ht="29.5" thickBot="1">
      <c r="A826" s="281">
        <v>46269</v>
      </c>
      <c r="B826" s="471" t="s">
        <v>577</v>
      </c>
      <c r="C826" s="473">
        <v>826.26</v>
      </c>
      <c r="D826" s="244">
        <v>807386.2</v>
      </c>
      <c r="E826" s="150"/>
      <c r="F826" s="150"/>
      <c r="G826" s="153">
        <f t="shared" si="97"/>
        <v>978739.07600000268</v>
      </c>
      <c r="H826" s="469" t="s">
        <v>10</v>
      </c>
      <c r="I826" s="500" t="s">
        <v>119</v>
      </c>
      <c r="J826" s="501" t="s">
        <v>120</v>
      </c>
      <c r="K826" s="14"/>
      <c r="L826" s="15"/>
      <c r="M826" t="str">
        <f t="shared" si="94"/>
        <v/>
      </c>
      <c r="N826" t="str">
        <f t="shared" si="91"/>
        <v/>
      </c>
    </row>
    <row r="827" spans="1:14" ht="15" thickBot="1">
      <c r="A827" s="281">
        <v>46269</v>
      </c>
      <c r="B827" s="470" t="s">
        <v>31</v>
      </c>
      <c r="C827" s="246">
        <v>2.48</v>
      </c>
      <c r="D827" s="244">
        <v>2422.15</v>
      </c>
      <c r="E827" s="150"/>
      <c r="F827" s="150"/>
      <c r="G827" s="153">
        <f t="shared" si="97"/>
        <v>976316.92600000266</v>
      </c>
      <c r="H827" s="469" t="s">
        <v>25</v>
      </c>
      <c r="I827" s="412" t="s">
        <v>116</v>
      </c>
      <c r="J827" s="412" t="s">
        <v>117</v>
      </c>
      <c r="K827" s="14"/>
      <c r="L827" s="412" t="s">
        <v>437</v>
      </c>
      <c r="M827" t="str">
        <f t="shared" si="94"/>
        <v/>
      </c>
      <c r="N827" t="str">
        <f t="shared" si="91"/>
        <v/>
      </c>
    </row>
    <row r="828" spans="1:14" ht="15" thickBot="1">
      <c r="A828" s="281">
        <v>46269</v>
      </c>
      <c r="B828" s="470" t="s">
        <v>578</v>
      </c>
      <c r="C828" s="246">
        <v>4.45</v>
      </c>
      <c r="D828" s="244">
        <v>4353.18</v>
      </c>
      <c r="E828" s="150"/>
      <c r="F828" s="150"/>
      <c r="G828" s="153">
        <f t="shared" si="97"/>
        <v>971963.7460000026</v>
      </c>
      <c r="H828" s="469" t="s">
        <v>13</v>
      </c>
      <c r="I828" s="500" t="s">
        <v>119</v>
      </c>
      <c r="J828" s="501" t="s">
        <v>128</v>
      </c>
      <c r="K828" s="14"/>
      <c r="L828" s="501" t="s">
        <v>437</v>
      </c>
      <c r="M828" t="str">
        <f t="shared" si="94"/>
        <v/>
      </c>
      <c r="N828" t="str">
        <f t="shared" si="91"/>
        <v/>
      </c>
    </row>
    <row r="829" spans="1:14" ht="15" thickBot="1">
      <c r="A829" s="69">
        <v>46270</v>
      </c>
      <c r="B829" s="70" t="s">
        <v>555</v>
      </c>
      <c r="C829" s="72"/>
      <c r="D829" s="73"/>
      <c r="E829" s="72">
        <v>33.86</v>
      </c>
      <c r="F829" s="73">
        <v>33108.519999999997</v>
      </c>
      <c r="G829" s="74">
        <f>G828+F829</f>
        <v>1005072.2660000026</v>
      </c>
      <c r="H829" s="75" t="s">
        <v>13</v>
      </c>
      <c r="I829" s="500" t="s">
        <v>127</v>
      </c>
      <c r="J829" s="519" t="s">
        <v>738</v>
      </c>
      <c r="K829" s="14"/>
      <c r="L829" s="412" t="s">
        <v>437</v>
      </c>
      <c r="M829" t="str">
        <f t="shared" si="94"/>
        <v/>
      </c>
      <c r="N829" t="str">
        <f t="shared" si="91"/>
        <v/>
      </c>
    </row>
    <row r="830" spans="1:14" ht="15" thickBot="1">
      <c r="A830" s="69">
        <v>46270</v>
      </c>
      <c r="B830" s="70" t="s">
        <v>579</v>
      </c>
      <c r="C830" s="72"/>
      <c r="D830" s="73"/>
      <c r="E830" s="72">
        <v>27.41</v>
      </c>
      <c r="F830" s="73">
        <v>26806.09</v>
      </c>
      <c r="G830" s="74">
        <f>G829+F830</f>
        <v>1031878.3560000026</v>
      </c>
      <c r="H830" s="75" t="s">
        <v>13</v>
      </c>
      <c r="I830" s="500" t="s">
        <v>127</v>
      </c>
      <c r="J830" s="519" t="s">
        <v>738</v>
      </c>
      <c r="K830" s="14"/>
      <c r="L830" s="412" t="s">
        <v>437</v>
      </c>
      <c r="M830" t="str">
        <f t="shared" si="94"/>
        <v/>
      </c>
      <c r="N830" t="str">
        <f t="shared" si="91"/>
        <v/>
      </c>
    </row>
    <row r="831" spans="1:14" ht="15" thickBot="1">
      <c r="A831" s="281">
        <v>46270</v>
      </c>
      <c r="B831" s="363" t="s">
        <v>309</v>
      </c>
      <c r="C831" s="246">
        <v>0.51</v>
      </c>
      <c r="D831" s="244">
        <v>496.62</v>
      </c>
      <c r="E831" s="150"/>
      <c r="F831" s="150"/>
      <c r="G831" s="153">
        <f>G830-D831</f>
        <v>1031381.7360000026</v>
      </c>
      <c r="H831" s="469" t="s">
        <v>25</v>
      </c>
      <c r="I831" s="412" t="s">
        <v>116</v>
      </c>
      <c r="J831" s="412" t="s">
        <v>117</v>
      </c>
      <c r="K831" s="14"/>
      <c r="L831" s="412" t="s">
        <v>437</v>
      </c>
      <c r="M831" t="str">
        <f t="shared" si="94"/>
        <v/>
      </c>
      <c r="N831" t="str">
        <f t="shared" si="91"/>
        <v/>
      </c>
    </row>
    <row r="832" spans="1:14" ht="15" thickBot="1">
      <c r="A832" s="281">
        <v>46270</v>
      </c>
      <c r="B832" s="363" t="s">
        <v>309</v>
      </c>
      <c r="C832" s="246">
        <v>0.41</v>
      </c>
      <c r="D832" s="244">
        <v>402.09</v>
      </c>
      <c r="E832" s="150"/>
      <c r="F832" s="150"/>
      <c r="G832" s="153">
        <f>G831-D832</f>
        <v>1030979.6460000026</v>
      </c>
      <c r="H832" s="469" t="s">
        <v>25</v>
      </c>
      <c r="I832" s="412" t="s">
        <v>116</v>
      </c>
      <c r="J832" s="412" t="s">
        <v>117</v>
      </c>
      <c r="K832" s="14"/>
      <c r="L832" s="412" t="s">
        <v>437</v>
      </c>
      <c r="M832" t="str">
        <f t="shared" si="94"/>
        <v/>
      </c>
      <c r="N832" t="str">
        <f t="shared" si="91"/>
        <v/>
      </c>
    </row>
    <row r="833" spans="1:14" ht="15" thickBot="1">
      <c r="A833" s="281">
        <v>46270</v>
      </c>
      <c r="B833" s="470" t="s">
        <v>580</v>
      </c>
      <c r="C833" s="246">
        <v>34.549999999999997</v>
      </c>
      <c r="D833" s="244">
        <v>33781</v>
      </c>
      <c r="E833" s="150"/>
      <c r="F833" s="150"/>
      <c r="G833" s="153">
        <f>G832-D833</f>
        <v>997198.64600000263</v>
      </c>
      <c r="H833" s="469" t="s">
        <v>13</v>
      </c>
      <c r="I833" s="500" t="s">
        <v>119</v>
      </c>
      <c r="J833" s="501" t="s">
        <v>128</v>
      </c>
      <c r="K833" s="14"/>
      <c r="L833" s="501" t="s">
        <v>437</v>
      </c>
      <c r="M833" t="str">
        <f t="shared" si="94"/>
        <v/>
      </c>
      <c r="N833" t="str">
        <f t="shared" si="91"/>
        <v/>
      </c>
    </row>
    <row r="834" spans="1:14" ht="15" thickBot="1">
      <c r="A834" s="281">
        <v>46270</v>
      </c>
      <c r="B834" s="470" t="s">
        <v>581</v>
      </c>
      <c r="C834" s="246">
        <v>1.5</v>
      </c>
      <c r="D834" s="244">
        <v>1464.73</v>
      </c>
      <c r="E834" s="150"/>
      <c r="F834" s="150"/>
      <c r="G834" s="153">
        <f>G833-D834</f>
        <v>995733.91600000265</v>
      </c>
      <c r="H834" s="469" t="s">
        <v>13</v>
      </c>
      <c r="I834" s="500" t="s">
        <v>119</v>
      </c>
      <c r="J834" s="501" t="s">
        <v>128</v>
      </c>
      <c r="K834" s="14"/>
      <c r="L834" s="501" t="s">
        <v>437</v>
      </c>
      <c r="M834" t="str">
        <f t="shared" si="94"/>
        <v/>
      </c>
      <c r="N834" t="str">
        <f t="shared" si="91"/>
        <v/>
      </c>
    </row>
    <row r="835" spans="1:14" ht="15" thickBot="1">
      <c r="A835" s="69">
        <v>46271</v>
      </c>
      <c r="B835" s="70" t="s">
        <v>563</v>
      </c>
      <c r="C835" s="72"/>
      <c r="D835" s="71"/>
      <c r="E835" s="72">
        <v>48.33</v>
      </c>
      <c r="F835" s="474">
        <v>47263.56</v>
      </c>
      <c r="G835" s="74">
        <f>G834+F835</f>
        <v>1042997.4760000026</v>
      </c>
      <c r="H835" s="75" t="s">
        <v>13</v>
      </c>
      <c r="I835" s="500" t="s">
        <v>127</v>
      </c>
      <c r="J835" s="519" t="s">
        <v>738</v>
      </c>
      <c r="K835" s="14"/>
      <c r="L835" s="412" t="s">
        <v>437</v>
      </c>
      <c r="M835" t="str">
        <f t="shared" si="94"/>
        <v/>
      </c>
      <c r="N835" t="str">
        <f t="shared" si="91"/>
        <v/>
      </c>
    </row>
    <row r="836" spans="1:14" ht="15" thickBot="1">
      <c r="A836" s="281">
        <v>46271</v>
      </c>
      <c r="B836" s="363" t="s">
        <v>309</v>
      </c>
      <c r="C836" s="246">
        <v>0.72</v>
      </c>
      <c r="D836" s="244">
        <v>708.95</v>
      </c>
      <c r="E836" s="150"/>
      <c r="F836" s="150"/>
      <c r="G836" s="153">
        <f>G835-D836</f>
        <v>1042288.5260000026</v>
      </c>
      <c r="H836" s="469" t="s">
        <v>25</v>
      </c>
      <c r="I836" s="412" t="s">
        <v>116</v>
      </c>
      <c r="J836" s="412" t="s">
        <v>117</v>
      </c>
      <c r="K836" s="14"/>
      <c r="L836" s="412" t="s">
        <v>437</v>
      </c>
      <c r="M836" t="str">
        <f t="shared" si="94"/>
        <v/>
      </c>
      <c r="N836" t="str">
        <f t="shared" ref="N836:N899" si="98">IF(C836="","",IF(C836=D836,"OJOOO",""))</f>
        <v/>
      </c>
    </row>
    <row r="837" spans="1:14" ht="15" thickBot="1">
      <c r="A837" s="69">
        <v>46272</v>
      </c>
      <c r="B837" s="70" t="s">
        <v>582</v>
      </c>
      <c r="C837" s="72"/>
      <c r="D837" s="73"/>
      <c r="E837" s="70">
        <v>51.15</v>
      </c>
      <c r="F837" s="72">
        <v>50019.69</v>
      </c>
      <c r="G837" s="74">
        <f>G836+F837</f>
        <v>1092308.2160000026</v>
      </c>
      <c r="H837" s="75" t="s">
        <v>13</v>
      </c>
      <c r="I837" s="500" t="s">
        <v>127</v>
      </c>
      <c r="J837" s="519" t="s">
        <v>738</v>
      </c>
      <c r="K837" s="14"/>
      <c r="L837" s="412" t="s">
        <v>437</v>
      </c>
      <c r="M837" t="str">
        <f t="shared" si="94"/>
        <v/>
      </c>
      <c r="N837" t="str">
        <f t="shared" si="98"/>
        <v/>
      </c>
    </row>
    <row r="838" spans="1:14" ht="15" thickBot="1">
      <c r="A838" s="69">
        <v>46272</v>
      </c>
      <c r="B838" s="70" t="s">
        <v>564</v>
      </c>
      <c r="C838" s="72"/>
      <c r="D838" s="73"/>
      <c r="E838" s="72">
        <v>11.37</v>
      </c>
      <c r="F838" s="72">
        <v>11120.82</v>
      </c>
      <c r="G838" s="74">
        <f>G837+F838</f>
        <v>1103429.0360000026</v>
      </c>
      <c r="H838" s="75" t="s">
        <v>13</v>
      </c>
      <c r="I838" s="500" t="s">
        <v>127</v>
      </c>
      <c r="J838" s="519" t="s">
        <v>738</v>
      </c>
      <c r="K838" s="14"/>
      <c r="L838" s="412" t="s">
        <v>437</v>
      </c>
      <c r="M838" t="str">
        <f t="shared" si="94"/>
        <v/>
      </c>
      <c r="N838" t="str">
        <f t="shared" si="98"/>
        <v/>
      </c>
    </row>
    <row r="839" spans="1:14" ht="15" thickBot="1">
      <c r="A839" s="281">
        <v>46272</v>
      </c>
      <c r="B839" s="363" t="s">
        <v>309</v>
      </c>
      <c r="C839" s="246">
        <v>0.17</v>
      </c>
      <c r="D839" s="244">
        <v>166.81</v>
      </c>
      <c r="E839" s="150"/>
      <c r="F839" s="150"/>
      <c r="G839" s="153">
        <f>G838-D839</f>
        <v>1103262.2260000026</v>
      </c>
      <c r="H839" s="475" t="s">
        <v>25</v>
      </c>
      <c r="I839" s="412" t="s">
        <v>116</v>
      </c>
      <c r="J839" s="412" t="s">
        <v>117</v>
      </c>
      <c r="K839" s="14"/>
      <c r="L839" s="412" t="s">
        <v>437</v>
      </c>
      <c r="M839" t="str">
        <f t="shared" si="94"/>
        <v/>
      </c>
      <c r="N839" t="str">
        <f t="shared" si="98"/>
        <v/>
      </c>
    </row>
    <row r="840" spans="1:14" ht="15" thickBot="1">
      <c r="A840" s="69">
        <v>46272</v>
      </c>
      <c r="B840" s="70" t="s">
        <v>583</v>
      </c>
      <c r="C840" s="72"/>
      <c r="D840" s="73"/>
      <c r="E840" s="70">
        <v>22.83</v>
      </c>
      <c r="F840" s="72">
        <v>22241.69</v>
      </c>
      <c r="G840" s="74">
        <f>G839+F840</f>
        <v>1125503.9160000025</v>
      </c>
      <c r="H840" s="75" t="s">
        <v>13</v>
      </c>
      <c r="I840" s="500" t="s">
        <v>127</v>
      </c>
      <c r="J840" s="519" t="s">
        <v>738</v>
      </c>
      <c r="K840" s="14"/>
      <c r="L840" s="412" t="s">
        <v>437</v>
      </c>
      <c r="M840" t="str">
        <f t="shared" si="94"/>
        <v/>
      </c>
      <c r="N840" t="str">
        <f t="shared" si="98"/>
        <v/>
      </c>
    </row>
    <row r="841" spans="1:14" ht="15" thickBot="1">
      <c r="A841" s="281">
        <v>46272</v>
      </c>
      <c r="B841" s="363" t="s">
        <v>309</v>
      </c>
      <c r="C841" s="246">
        <v>0.77</v>
      </c>
      <c r="D841" s="244">
        <v>750.29</v>
      </c>
      <c r="E841" s="150"/>
      <c r="F841" s="150"/>
      <c r="G841" s="153">
        <f>G840-D841</f>
        <v>1124753.6260000025</v>
      </c>
      <c r="H841" s="475" t="s">
        <v>25</v>
      </c>
      <c r="I841" s="412" t="s">
        <v>116</v>
      </c>
      <c r="J841" s="412" t="s">
        <v>117</v>
      </c>
      <c r="K841" s="14"/>
      <c r="L841" s="412" t="s">
        <v>437</v>
      </c>
      <c r="M841" t="str">
        <f t="shared" si="94"/>
        <v/>
      </c>
      <c r="N841" t="str">
        <f t="shared" si="98"/>
        <v/>
      </c>
    </row>
    <row r="842" spans="1:14" ht="15" thickBot="1">
      <c r="A842" s="281">
        <v>46272</v>
      </c>
      <c r="B842" s="363" t="s">
        <v>309</v>
      </c>
      <c r="C842" s="246">
        <v>0.34</v>
      </c>
      <c r="D842" s="244">
        <v>333.62</v>
      </c>
      <c r="E842" s="150"/>
      <c r="F842" s="150"/>
      <c r="G842" s="153">
        <f>G841-D842</f>
        <v>1124420.0060000024</v>
      </c>
      <c r="H842" s="475" t="s">
        <v>25</v>
      </c>
      <c r="I842" s="412" t="s">
        <v>116</v>
      </c>
      <c r="J842" s="412" t="s">
        <v>117</v>
      </c>
      <c r="K842" s="14"/>
      <c r="L842" s="412" t="s">
        <v>437</v>
      </c>
      <c r="M842" t="str">
        <f t="shared" si="94"/>
        <v/>
      </c>
      <c r="N842" t="str">
        <f t="shared" si="98"/>
        <v/>
      </c>
    </row>
    <row r="843" spans="1:14" ht="15" thickBot="1">
      <c r="A843" s="69">
        <v>46272</v>
      </c>
      <c r="B843" s="70" t="s">
        <v>587</v>
      </c>
      <c r="C843" s="72"/>
      <c r="D843" s="73"/>
      <c r="E843" s="70">
        <v>217.77</v>
      </c>
      <c r="F843" s="72">
        <v>212203.77</v>
      </c>
      <c r="G843" s="74">
        <f>G842+F843</f>
        <v>1336623.7760000024</v>
      </c>
      <c r="H843" s="75" t="s">
        <v>10</v>
      </c>
      <c r="I843" s="500" t="s">
        <v>127</v>
      </c>
      <c r="J843" s="519" t="s">
        <v>740</v>
      </c>
      <c r="K843" s="14"/>
      <c r="L843" s="412" t="s">
        <v>437</v>
      </c>
      <c r="M843" t="str">
        <f t="shared" si="94"/>
        <v/>
      </c>
      <c r="N843" t="str">
        <f t="shared" si="98"/>
        <v/>
      </c>
    </row>
    <row r="844" spans="1:14" ht="15" thickBot="1">
      <c r="A844" s="281">
        <v>46272</v>
      </c>
      <c r="B844" s="476" t="s">
        <v>584</v>
      </c>
      <c r="C844" s="247">
        <v>12.55</v>
      </c>
      <c r="D844" s="477">
        <v>12225.15</v>
      </c>
      <c r="F844" s="15"/>
      <c r="G844" s="153">
        <f>G843-D844</f>
        <v>1324398.6260000025</v>
      </c>
      <c r="H844" s="475" t="s">
        <v>13</v>
      </c>
      <c r="I844" s="412" t="s">
        <v>116</v>
      </c>
      <c r="J844" s="501" t="s">
        <v>269</v>
      </c>
      <c r="K844" s="14"/>
      <c r="L844" s="412" t="s">
        <v>437</v>
      </c>
      <c r="M844" t="str">
        <f t="shared" si="94"/>
        <v/>
      </c>
      <c r="N844" t="str">
        <f t="shared" si="98"/>
        <v/>
      </c>
    </row>
    <row r="845" spans="1:14" ht="15" thickBot="1">
      <c r="A845" s="69">
        <v>46272</v>
      </c>
      <c r="B845" s="70" t="s">
        <v>585</v>
      </c>
      <c r="C845" s="72"/>
      <c r="D845" s="73"/>
      <c r="E845" s="70">
        <v>28.14</v>
      </c>
      <c r="F845" s="72">
        <v>27423.82</v>
      </c>
      <c r="G845" s="74">
        <f>G844+F845</f>
        <v>1351822.4460000026</v>
      </c>
      <c r="H845" s="75" t="s">
        <v>10</v>
      </c>
      <c r="I845" s="500" t="s">
        <v>127</v>
      </c>
      <c r="J845" s="519" t="s">
        <v>740</v>
      </c>
      <c r="K845" s="502" t="s">
        <v>127</v>
      </c>
      <c r="L845" s="15"/>
      <c r="M845" t="str">
        <f t="shared" si="94"/>
        <v/>
      </c>
      <c r="N845" t="str">
        <f t="shared" si="98"/>
        <v/>
      </c>
    </row>
    <row r="846" spans="1:14" ht="15" thickBot="1">
      <c r="A846" s="69">
        <v>46272</v>
      </c>
      <c r="B846" s="70" t="s">
        <v>586</v>
      </c>
      <c r="C846" s="72"/>
      <c r="D846" s="73"/>
      <c r="E846" s="70">
        <v>67.55</v>
      </c>
      <c r="F846" s="72">
        <v>65817.23</v>
      </c>
      <c r="G846" s="74">
        <f>G845+F846</f>
        <v>1417639.6760000025</v>
      </c>
      <c r="H846" s="75" t="s">
        <v>10</v>
      </c>
      <c r="I846" s="500" t="s">
        <v>127</v>
      </c>
      <c r="J846" s="519" t="s">
        <v>740</v>
      </c>
      <c r="K846" s="502" t="s">
        <v>127</v>
      </c>
      <c r="L846" s="15"/>
      <c r="M846" t="str">
        <f t="shared" si="94"/>
        <v/>
      </c>
      <c r="N846" t="str">
        <f t="shared" si="98"/>
        <v/>
      </c>
    </row>
    <row r="847" spans="1:14" ht="15" thickBot="1">
      <c r="A847" s="281">
        <v>46272</v>
      </c>
      <c r="B847" s="476" t="s">
        <v>588</v>
      </c>
      <c r="C847" s="246">
        <v>50.61</v>
      </c>
      <c r="D847" s="244">
        <v>49313.56</v>
      </c>
      <c r="E847" s="150"/>
      <c r="F847" s="150"/>
      <c r="G847" s="153">
        <f t="shared" ref="G847:G854" si="99">G846-D847</f>
        <v>1368326.1160000025</v>
      </c>
      <c r="H847" s="475" t="s">
        <v>13</v>
      </c>
      <c r="I847" s="412" t="s">
        <v>116</v>
      </c>
      <c r="J847" s="501" t="s">
        <v>20</v>
      </c>
      <c r="K847" s="14"/>
      <c r="L847" s="501" t="s">
        <v>437</v>
      </c>
      <c r="M847" t="str">
        <f t="shared" si="94"/>
        <v/>
      </c>
      <c r="N847" t="str">
        <f t="shared" si="98"/>
        <v/>
      </c>
    </row>
    <row r="848" spans="1:14" ht="15" thickBot="1">
      <c r="A848" s="281">
        <v>46272</v>
      </c>
      <c r="B848" s="476" t="s">
        <v>589</v>
      </c>
      <c r="C848" s="246">
        <v>300.22000000000003</v>
      </c>
      <c r="D848" s="244">
        <v>292541.71000000002</v>
      </c>
      <c r="E848" s="150"/>
      <c r="F848" s="150"/>
      <c r="G848" s="153">
        <f t="shared" si="99"/>
        <v>1075784.4060000025</v>
      </c>
      <c r="H848" s="475" t="s">
        <v>10</v>
      </c>
      <c r="I848" s="412" t="s">
        <v>116</v>
      </c>
      <c r="J848" s="501" t="s">
        <v>266</v>
      </c>
      <c r="K848" s="14"/>
      <c r="L848" s="501" t="s">
        <v>437</v>
      </c>
      <c r="M848" t="str">
        <f t="shared" si="94"/>
        <v/>
      </c>
      <c r="N848" t="str">
        <f t="shared" si="98"/>
        <v/>
      </c>
    </row>
    <row r="849" spans="1:14" ht="15" thickBot="1">
      <c r="A849" s="281">
        <v>46272</v>
      </c>
      <c r="B849" s="476" t="s">
        <v>31</v>
      </c>
      <c r="C849" s="246">
        <v>0.9</v>
      </c>
      <c r="D849" s="244">
        <v>877.62</v>
      </c>
      <c r="E849" s="150"/>
      <c r="F849" s="150"/>
      <c r="G849" s="153">
        <f t="shared" si="99"/>
        <v>1074906.7860000024</v>
      </c>
      <c r="H849" s="475" t="s">
        <v>25</v>
      </c>
      <c r="I849" s="412" t="s">
        <v>116</v>
      </c>
      <c r="J849" s="412" t="s">
        <v>117</v>
      </c>
      <c r="K849" s="14"/>
      <c r="L849" s="412" t="s">
        <v>437</v>
      </c>
      <c r="M849" t="str">
        <f t="shared" si="94"/>
        <v/>
      </c>
      <c r="N849" t="str">
        <f t="shared" si="98"/>
        <v/>
      </c>
    </row>
    <row r="850" spans="1:14" ht="15" thickBot="1">
      <c r="A850" s="281">
        <v>46272</v>
      </c>
      <c r="B850" s="476" t="s">
        <v>590</v>
      </c>
      <c r="C850" s="246">
        <v>8.77</v>
      </c>
      <c r="D850" s="244">
        <v>8544.27</v>
      </c>
      <c r="E850" s="150"/>
      <c r="F850" s="150"/>
      <c r="G850" s="153">
        <f t="shared" si="99"/>
        <v>1066362.5160000024</v>
      </c>
      <c r="H850" s="475" t="s">
        <v>13</v>
      </c>
      <c r="I850" s="500" t="s">
        <v>116</v>
      </c>
      <c r="J850" s="501" t="s">
        <v>20</v>
      </c>
      <c r="K850" s="14"/>
      <c r="L850" s="412" t="s">
        <v>437</v>
      </c>
      <c r="M850" t="str">
        <f t="shared" si="94"/>
        <v/>
      </c>
      <c r="N850" t="str">
        <f t="shared" si="98"/>
        <v/>
      </c>
    </row>
    <row r="851" spans="1:14" ht="15" thickBot="1">
      <c r="A851" s="281">
        <v>46272</v>
      </c>
      <c r="B851" s="476" t="s">
        <v>591</v>
      </c>
      <c r="C851" s="246">
        <v>3.74</v>
      </c>
      <c r="D851" s="244">
        <v>3644.98</v>
      </c>
      <c r="E851" s="150"/>
      <c r="F851" s="150"/>
      <c r="G851" s="153">
        <f t="shared" si="99"/>
        <v>1062717.5360000024</v>
      </c>
      <c r="H851" s="475" t="s">
        <v>10</v>
      </c>
      <c r="I851" s="500" t="s">
        <v>699</v>
      </c>
      <c r="J851" s="501" t="s">
        <v>700</v>
      </c>
      <c r="K851" s="14"/>
      <c r="L851" s="501" t="s">
        <v>437</v>
      </c>
      <c r="M851" t="str">
        <f t="shared" si="94"/>
        <v/>
      </c>
      <c r="N851" t="str">
        <f t="shared" si="98"/>
        <v/>
      </c>
    </row>
    <row r="852" spans="1:14" ht="15" thickBot="1">
      <c r="A852" s="281">
        <v>46272</v>
      </c>
      <c r="B852" s="476" t="s">
        <v>31</v>
      </c>
      <c r="C852" s="246">
        <v>0.01</v>
      </c>
      <c r="D852" s="244">
        <v>14</v>
      </c>
      <c r="E852" s="150"/>
      <c r="F852" s="150"/>
      <c r="G852" s="153">
        <f t="shared" si="99"/>
        <v>1062703.5360000024</v>
      </c>
      <c r="H852" s="475" t="s">
        <v>25</v>
      </c>
      <c r="I852" s="412" t="s">
        <v>116</v>
      </c>
      <c r="J852" s="412" t="s">
        <v>117</v>
      </c>
      <c r="K852" s="14"/>
      <c r="L852" s="412" t="s">
        <v>437</v>
      </c>
      <c r="M852" t="str">
        <f t="shared" ref="M852:M915" si="100">IF(E852="","",IF(E852=F852,"OJOOO",""))</f>
        <v/>
      </c>
      <c r="N852" t="str">
        <f t="shared" si="98"/>
        <v/>
      </c>
    </row>
    <row r="853" spans="1:14" ht="15" thickBot="1">
      <c r="A853" s="281">
        <v>46272</v>
      </c>
      <c r="B853" s="478" t="s">
        <v>592</v>
      </c>
      <c r="C853" s="246">
        <v>106.56</v>
      </c>
      <c r="D853" s="244">
        <v>103833.22</v>
      </c>
      <c r="E853" s="150"/>
      <c r="F853" s="150"/>
      <c r="G853" s="153">
        <f t="shared" si="99"/>
        <v>958870.31600000244</v>
      </c>
      <c r="H853" s="475" t="s">
        <v>10</v>
      </c>
      <c r="I853" s="500" t="s">
        <v>119</v>
      </c>
      <c r="J853" s="501" t="s">
        <v>443</v>
      </c>
      <c r="K853" s="14"/>
      <c r="L853" s="412" t="s">
        <v>437</v>
      </c>
      <c r="M853" t="str">
        <f t="shared" si="100"/>
        <v/>
      </c>
      <c r="N853" t="str">
        <f t="shared" si="98"/>
        <v/>
      </c>
    </row>
    <row r="854" spans="1:14" ht="15" thickBot="1">
      <c r="A854" s="281">
        <v>46272</v>
      </c>
      <c r="B854" s="476" t="s">
        <v>31</v>
      </c>
      <c r="C854" s="246">
        <v>0.32</v>
      </c>
      <c r="D854" s="244">
        <v>311.49</v>
      </c>
      <c r="E854" s="150"/>
      <c r="F854" s="150"/>
      <c r="G854" s="153">
        <f t="shared" si="99"/>
        <v>958558.82600000245</v>
      </c>
      <c r="H854" s="475" t="s">
        <v>25</v>
      </c>
      <c r="I854" s="412" t="s">
        <v>116</v>
      </c>
      <c r="J854" s="412" t="s">
        <v>117</v>
      </c>
      <c r="K854" s="14"/>
      <c r="L854" s="412" t="s">
        <v>437</v>
      </c>
      <c r="M854" t="str">
        <f t="shared" si="100"/>
        <v/>
      </c>
      <c r="N854" t="str">
        <f t="shared" si="98"/>
        <v/>
      </c>
    </row>
    <row r="855" spans="1:14" ht="15" thickBot="1">
      <c r="A855" s="69">
        <v>46273</v>
      </c>
      <c r="B855" s="70" t="s">
        <v>593</v>
      </c>
      <c r="C855" s="72"/>
      <c r="D855" s="73"/>
      <c r="E855" s="381">
        <v>2921.39</v>
      </c>
      <c r="F855" s="72">
        <v>2846654.16</v>
      </c>
      <c r="G855" s="74">
        <f>G854+F855</f>
        <v>3805212.9860000024</v>
      </c>
      <c r="H855" s="75" t="s">
        <v>10</v>
      </c>
      <c r="I855" s="500" t="s">
        <v>127</v>
      </c>
      <c r="J855" s="519" t="s">
        <v>737</v>
      </c>
      <c r="K855" s="502" t="s">
        <v>127</v>
      </c>
      <c r="L855" s="15"/>
      <c r="M855" t="str">
        <f t="shared" si="100"/>
        <v/>
      </c>
      <c r="N855" t="str">
        <f t="shared" si="98"/>
        <v/>
      </c>
    </row>
    <row r="856" spans="1:14" ht="15" thickBot="1">
      <c r="A856" s="69">
        <v>46273</v>
      </c>
      <c r="B856" s="70" t="s">
        <v>594</v>
      </c>
      <c r="C856" s="72"/>
      <c r="D856" s="73"/>
      <c r="E856" s="70">
        <v>32.729999999999997</v>
      </c>
      <c r="F856" s="72">
        <v>27802.11</v>
      </c>
      <c r="G856" s="74">
        <f>G855+F856</f>
        <v>3833015.0960000022</v>
      </c>
      <c r="H856" s="75" t="s">
        <v>13</v>
      </c>
      <c r="I856" s="500" t="s">
        <v>127</v>
      </c>
      <c r="J856" s="519" t="s">
        <v>738</v>
      </c>
      <c r="K856" s="14"/>
      <c r="L856" s="412" t="s">
        <v>437</v>
      </c>
      <c r="M856" t="str">
        <f t="shared" si="100"/>
        <v/>
      </c>
      <c r="N856" t="str">
        <f t="shared" si="98"/>
        <v/>
      </c>
    </row>
    <row r="857" spans="1:14" ht="15" thickBot="1">
      <c r="A857" s="69">
        <v>46273</v>
      </c>
      <c r="B857" s="70" t="s">
        <v>579</v>
      </c>
      <c r="C857" s="72"/>
      <c r="D857" s="73"/>
      <c r="E857" s="70">
        <v>29.45</v>
      </c>
      <c r="F857" s="72">
        <v>25021.9</v>
      </c>
      <c r="G857" s="74">
        <f>G856+F857</f>
        <v>3858036.9960000021</v>
      </c>
      <c r="H857" s="75" t="s">
        <v>13</v>
      </c>
      <c r="I857" s="500" t="s">
        <v>127</v>
      </c>
      <c r="J857" s="519" t="s">
        <v>738</v>
      </c>
      <c r="K857" s="14"/>
      <c r="L857" s="412" t="s">
        <v>437</v>
      </c>
      <c r="M857" t="str">
        <f t="shared" si="100"/>
        <v/>
      </c>
      <c r="N857" t="str">
        <f t="shared" si="98"/>
        <v/>
      </c>
    </row>
    <row r="858" spans="1:14" ht="15" thickBot="1">
      <c r="A858" s="281">
        <v>46273</v>
      </c>
      <c r="B858" s="363" t="s">
        <v>309</v>
      </c>
      <c r="C858" s="246">
        <v>0.49</v>
      </c>
      <c r="D858" s="244">
        <v>417.03</v>
      </c>
      <c r="E858" s="479"/>
      <c r="F858" s="150"/>
      <c r="G858" s="153">
        <f>G857-D858</f>
        <v>3857619.9660000023</v>
      </c>
      <c r="H858" s="480" t="s">
        <v>25</v>
      </c>
      <c r="I858" s="412" t="s">
        <v>116</v>
      </c>
      <c r="J858" s="412" t="s">
        <v>117</v>
      </c>
      <c r="K858" s="14"/>
      <c r="L858" s="412" t="s">
        <v>437</v>
      </c>
      <c r="M858" t="str">
        <f t="shared" si="100"/>
        <v/>
      </c>
      <c r="N858" t="str">
        <f t="shared" si="98"/>
        <v/>
      </c>
    </row>
    <row r="859" spans="1:14" ht="15" thickBot="1">
      <c r="A859" s="281">
        <v>46273</v>
      </c>
      <c r="B859" s="363" t="s">
        <v>309</v>
      </c>
      <c r="C859" s="246">
        <v>0.44</v>
      </c>
      <c r="D859" s="244">
        <v>375.32</v>
      </c>
      <c r="E859" s="150"/>
      <c r="F859" s="150"/>
      <c r="G859" s="153">
        <f>G858-D859</f>
        <v>3857244.6460000025</v>
      </c>
      <c r="H859" s="480" t="s">
        <v>25</v>
      </c>
      <c r="I859" s="412" t="s">
        <v>116</v>
      </c>
      <c r="J859" s="412" t="s">
        <v>117</v>
      </c>
      <c r="K859" s="14"/>
      <c r="L859" s="412" t="s">
        <v>437</v>
      </c>
      <c r="M859" t="str">
        <f t="shared" si="100"/>
        <v/>
      </c>
      <c r="N859" t="str">
        <f t="shared" si="98"/>
        <v/>
      </c>
    </row>
    <row r="860" spans="1:14" ht="15" thickBot="1">
      <c r="A860" s="69">
        <v>46273</v>
      </c>
      <c r="B860" s="70" t="s">
        <v>595</v>
      </c>
      <c r="C860" s="72"/>
      <c r="D860" s="73"/>
      <c r="E860" s="70">
        <v>85.3</v>
      </c>
      <c r="F860" s="72">
        <v>72468.3</v>
      </c>
      <c r="G860" s="74">
        <f>G859+F860</f>
        <v>3929712.9460000023</v>
      </c>
      <c r="H860" s="75" t="s">
        <v>10</v>
      </c>
      <c r="I860" s="500" t="s">
        <v>127</v>
      </c>
      <c r="J860" s="519" t="s">
        <v>740</v>
      </c>
      <c r="K860" s="502" t="s">
        <v>127</v>
      </c>
      <c r="L860" s="15"/>
      <c r="M860" t="str">
        <f t="shared" si="100"/>
        <v/>
      </c>
      <c r="N860" t="str">
        <f t="shared" si="98"/>
        <v/>
      </c>
    </row>
    <row r="861" spans="1:14" ht="15" thickBot="1">
      <c r="A861" s="281">
        <v>46273</v>
      </c>
      <c r="B861" s="479" t="s">
        <v>596</v>
      </c>
      <c r="C861" s="246">
        <v>44.34</v>
      </c>
      <c r="D861" s="244">
        <v>37671.300000000003</v>
      </c>
      <c r="E861" s="150"/>
      <c r="F861" s="150"/>
      <c r="G861" s="153">
        <f>G860-D861</f>
        <v>3892041.6460000025</v>
      </c>
      <c r="H861" s="480" t="s">
        <v>10</v>
      </c>
      <c r="I861" s="412" t="s">
        <v>116</v>
      </c>
      <c r="J861" s="501" t="s">
        <v>269</v>
      </c>
      <c r="K861" s="14"/>
      <c r="L861" s="501" t="s">
        <v>437</v>
      </c>
      <c r="M861" t="str">
        <f t="shared" si="100"/>
        <v/>
      </c>
      <c r="N861" t="str">
        <f t="shared" si="98"/>
        <v/>
      </c>
    </row>
    <row r="862" spans="1:14" ht="15" thickBot="1">
      <c r="A862" s="281">
        <v>46273</v>
      </c>
      <c r="B862" s="476" t="s">
        <v>31</v>
      </c>
      <c r="C862" s="246">
        <v>0.13</v>
      </c>
      <c r="D862" s="244">
        <v>113.01</v>
      </c>
      <c r="E862" s="150"/>
      <c r="F862" s="150"/>
      <c r="G862" s="153">
        <f>G861-D862</f>
        <v>3891928.6360000027</v>
      </c>
      <c r="H862" s="480" t="s">
        <v>25</v>
      </c>
      <c r="I862" s="412" t="s">
        <v>116</v>
      </c>
      <c r="J862" s="412" t="s">
        <v>117</v>
      </c>
      <c r="K862" s="14"/>
      <c r="L862" s="412" t="s">
        <v>437</v>
      </c>
      <c r="M862" t="str">
        <f t="shared" si="100"/>
        <v/>
      </c>
      <c r="N862" t="str">
        <f t="shared" si="98"/>
        <v/>
      </c>
    </row>
    <row r="863" spans="1:14" ht="15" thickBot="1">
      <c r="A863" s="281">
        <v>46273</v>
      </c>
      <c r="B863" s="479" t="s">
        <v>597</v>
      </c>
      <c r="C863" s="246">
        <v>92.81</v>
      </c>
      <c r="D863" s="244">
        <v>78850</v>
      </c>
      <c r="E863" s="150"/>
      <c r="F863" s="150"/>
      <c r="G863" s="153">
        <f>G862-D863</f>
        <v>3813078.6360000027</v>
      </c>
      <c r="H863" s="480" t="s">
        <v>10</v>
      </c>
      <c r="I863" s="500" t="s">
        <v>119</v>
      </c>
      <c r="J863" s="501" t="s">
        <v>129</v>
      </c>
      <c r="K863" s="14"/>
      <c r="L863" s="412" t="s">
        <v>437</v>
      </c>
      <c r="M863" t="str">
        <f t="shared" si="100"/>
        <v/>
      </c>
      <c r="N863" t="str">
        <f t="shared" si="98"/>
        <v/>
      </c>
    </row>
    <row r="864" spans="1:14" ht="15" thickBot="1">
      <c r="A864" s="481">
        <v>46273</v>
      </c>
      <c r="B864" s="476" t="s">
        <v>31</v>
      </c>
      <c r="C864" s="246">
        <v>0.28000000000000003</v>
      </c>
      <c r="D864" s="244">
        <v>236.55</v>
      </c>
      <c r="E864" s="150"/>
      <c r="F864" s="150"/>
      <c r="G864" s="153">
        <f>G863-D864</f>
        <v>3812842.0860000029</v>
      </c>
      <c r="H864" s="480" t="s">
        <v>25</v>
      </c>
      <c r="I864" s="412" t="s">
        <v>116</v>
      </c>
      <c r="J864" s="412" t="s">
        <v>117</v>
      </c>
      <c r="K864" s="14"/>
      <c r="L864" s="412" t="s">
        <v>437</v>
      </c>
      <c r="M864" t="str">
        <f t="shared" si="100"/>
        <v/>
      </c>
      <c r="N864" t="str">
        <f t="shared" si="98"/>
        <v/>
      </c>
    </row>
    <row r="865" spans="1:14" ht="15" thickBot="1">
      <c r="A865" s="69">
        <v>46273</v>
      </c>
      <c r="B865" s="70" t="s">
        <v>598</v>
      </c>
      <c r="C865" s="72"/>
      <c r="D865" s="73"/>
      <c r="E865" s="70">
        <v>11.58</v>
      </c>
      <c r="F865" s="72">
        <v>9834.85</v>
      </c>
      <c r="G865" s="74">
        <f>G864+F865</f>
        <v>3822676.936000003</v>
      </c>
      <c r="H865" s="75" t="s">
        <v>10</v>
      </c>
      <c r="I865" s="500" t="s">
        <v>127</v>
      </c>
      <c r="J865" s="519" t="s">
        <v>740</v>
      </c>
      <c r="K865" s="500" t="s">
        <v>127</v>
      </c>
      <c r="L865" s="15"/>
      <c r="M865" t="str">
        <f t="shared" si="100"/>
        <v/>
      </c>
      <c r="N865" t="str">
        <f t="shared" si="98"/>
        <v/>
      </c>
    </row>
    <row r="866" spans="1:14" ht="15" thickBot="1">
      <c r="A866" s="69">
        <v>46273</v>
      </c>
      <c r="B866" s="70" t="s">
        <v>599</v>
      </c>
      <c r="C866" s="72"/>
      <c r="D866" s="73"/>
      <c r="E866" s="70">
        <v>23.15</v>
      </c>
      <c r="F866" s="72">
        <v>19669.52</v>
      </c>
      <c r="G866" s="74">
        <f>G865+F866</f>
        <v>3842346.456000003</v>
      </c>
      <c r="H866" s="75" t="s">
        <v>10</v>
      </c>
      <c r="I866" s="500" t="s">
        <v>127</v>
      </c>
      <c r="J866" s="519" t="s">
        <v>740</v>
      </c>
      <c r="K866" s="500" t="s">
        <v>127</v>
      </c>
      <c r="L866" s="15"/>
      <c r="M866" t="str">
        <f t="shared" si="100"/>
        <v/>
      </c>
      <c r="N866" t="str">
        <f t="shared" si="98"/>
        <v/>
      </c>
    </row>
    <row r="867" spans="1:14" ht="29.5" thickBot="1">
      <c r="A867" s="281">
        <v>46273</v>
      </c>
      <c r="B867" s="482" t="s">
        <v>600</v>
      </c>
      <c r="C867" s="246">
        <v>47.95</v>
      </c>
      <c r="D867" s="244">
        <v>40734.54</v>
      </c>
      <c r="E867" s="150"/>
      <c r="F867" s="150"/>
      <c r="G867" s="153">
        <f t="shared" ref="G867:G874" si="101">G866-D867</f>
        <v>3801611.916000003</v>
      </c>
      <c r="H867" s="480" t="s">
        <v>10</v>
      </c>
      <c r="I867" s="500" t="s">
        <v>119</v>
      </c>
      <c r="J867" s="501" t="s">
        <v>129</v>
      </c>
      <c r="K867" s="14"/>
      <c r="L867" s="412" t="s">
        <v>437</v>
      </c>
      <c r="M867" t="str">
        <f t="shared" si="100"/>
        <v/>
      </c>
      <c r="N867" t="str">
        <f t="shared" si="98"/>
        <v/>
      </c>
    </row>
    <row r="868" spans="1:14" ht="15" thickBot="1">
      <c r="A868" s="481">
        <v>46273</v>
      </c>
      <c r="B868" s="476" t="s">
        <v>31</v>
      </c>
      <c r="C868" s="246">
        <v>0.14000000000000001</v>
      </c>
      <c r="D868" s="244">
        <v>122.2</v>
      </c>
      <c r="E868" s="150"/>
      <c r="F868" s="150"/>
      <c r="G868" s="153">
        <f t="shared" si="101"/>
        <v>3801489.7160000028</v>
      </c>
      <c r="H868" s="480" t="s">
        <v>25</v>
      </c>
      <c r="I868" s="412" t="s">
        <v>116</v>
      </c>
      <c r="J868" s="412" t="s">
        <v>117</v>
      </c>
      <c r="K868" s="14"/>
      <c r="L868" s="412" t="s">
        <v>437</v>
      </c>
      <c r="M868" t="str">
        <f t="shared" si="100"/>
        <v/>
      </c>
      <c r="N868" t="str">
        <f t="shared" si="98"/>
        <v/>
      </c>
    </row>
    <row r="869" spans="1:14" ht="15" thickBot="1">
      <c r="A869" s="281">
        <v>46273</v>
      </c>
      <c r="B869" s="479" t="s">
        <v>601</v>
      </c>
      <c r="C869" s="246">
        <v>91.1</v>
      </c>
      <c r="D869" s="244">
        <v>77395.63</v>
      </c>
      <c r="E869" s="150"/>
      <c r="F869" s="150"/>
      <c r="G869" s="153">
        <f t="shared" si="101"/>
        <v>3724094.0860000029</v>
      </c>
      <c r="H869" s="480" t="s">
        <v>10</v>
      </c>
      <c r="I869" s="500" t="s">
        <v>119</v>
      </c>
      <c r="J869" s="501" t="s">
        <v>443</v>
      </c>
      <c r="K869" s="14"/>
      <c r="L869" s="501" t="s">
        <v>437</v>
      </c>
      <c r="M869" t="str">
        <f t="shared" si="100"/>
        <v/>
      </c>
      <c r="N869" t="str">
        <f t="shared" si="98"/>
        <v/>
      </c>
    </row>
    <row r="870" spans="1:14" ht="15" thickBot="1">
      <c r="A870" s="281">
        <v>46273</v>
      </c>
      <c r="B870" s="476" t="s">
        <v>31</v>
      </c>
      <c r="C870" s="246">
        <v>0.27</v>
      </c>
      <c r="D870" s="244">
        <v>232.18</v>
      </c>
      <c r="E870" s="150"/>
      <c r="F870" s="150"/>
      <c r="G870" s="153">
        <f t="shared" si="101"/>
        <v>3723861.9060000028</v>
      </c>
      <c r="H870" s="480" t="s">
        <v>25</v>
      </c>
      <c r="I870" s="412" t="s">
        <v>116</v>
      </c>
      <c r="J870" s="412" t="s">
        <v>117</v>
      </c>
      <c r="K870" s="14"/>
      <c r="L870" s="412" t="s">
        <v>437</v>
      </c>
      <c r="M870" t="str">
        <f t="shared" si="100"/>
        <v/>
      </c>
      <c r="N870" t="str">
        <f t="shared" si="98"/>
        <v/>
      </c>
    </row>
    <row r="871" spans="1:14" ht="15" thickBot="1">
      <c r="A871" s="281">
        <v>46273</v>
      </c>
      <c r="B871" s="479" t="s">
        <v>602</v>
      </c>
      <c r="C871" s="246">
        <v>38.36</v>
      </c>
      <c r="D871" s="244">
        <v>32587.63</v>
      </c>
      <c r="E871" s="150"/>
      <c r="F871" s="150"/>
      <c r="G871" s="153">
        <f t="shared" si="101"/>
        <v>3691274.2760000029</v>
      </c>
      <c r="H871" s="480" t="s">
        <v>10</v>
      </c>
      <c r="I871" s="500" t="s">
        <v>116</v>
      </c>
      <c r="J871" s="501" t="s">
        <v>701</v>
      </c>
      <c r="K871" s="14"/>
      <c r="L871" s="412" t="s">
        <v>437</v>
      </c>
      <c r="M871" t="str">
        <f t="shared" si="100"/>
        <v/>
      </c>
      <c r="N871" t="str">
        <f t="shared" si="98"/>
        <v/>
      </c>
    </row>
    <row r="872" spans="1:14" ht="15" thickBot="1">
      <c r="A872" s="281">
        <v>46273</v>
      </c>
      <c r="B872" s="476" t="s">
        <v>31</v>
      </c>
      <c r="C872" s="246">
        <v>0.12</v>
      </c>
      <c r="D872" s="244">
        <v>97.76</v>
      </c>
      <c r="E872" s="150"/>
      <c r="F872" s="150"/>
      <c r="G872" s="153">
        <f t="shared" si="101"/>
        <v>3691176.5160000031</v>
      </c>
      <c r="H872" s="480" t="s">
        <v>25</v>
      </c>
      <c r="I872" s="412" t="s">
        <v>116</v>
      </c>
      <c r="J872" s="412" t="s">
        <v>117</v>
      </c>
      <c r="K872" s="14"/>
      <c r="L872" s="412" t="s">
        <v>437</v>
      </c>
      <c r="M872" t="str">
        <f t="shared" si="100"/>
        <v/>
      </c>
      <c r="N872" t="str">
        <f t="shared" si="98"/>
        <v/>
      </c>
    </row>
    <row r="873" spans="1:14" ht="15" thickBot="1">
      <c r="A873" s="281">
        <v>46273</v>
      </c>
      <c r="B873" s="479" t="s">
        <v>603</v>
      </c>
      <c r="C873" s="246">
        <v>1004.37</v>
      </c>
      <c r="D873" s="244">
        <v>853278.47</v>
      </c>
      <c r="E873" s="150"/>
      <c r="F873" s="150"/>
      <c r="G873" s="153">
        <f t="shared" si="101"/>
        <v>2837898.0460000029</v>
      </c>
      <c r="H873" s="480" t="s">
        <v>10</v>
      </c>
      <c r="I873" s="500" t="s">
        <v>116</v>
      </c>
      <c r="J873" s="501" t="s">
        <v>25</v>
      </c>
      <c r="K873" s="14"/>
      <c r="L873" s="501" t="s">
        <v>437</v>
      </c>
      <c r="M873" t="str">
        <f t="shared" si="100"/>
        <v/>
      </c>
      <c r="N873" t="str">
        <f t="shared" si="98"/>
        <v/>
      </c>
    </row>
    <row r="874" spans="1:14" ht="15" thickBot="1">
      <c r="A874" s="281">
        <v>46273</v>
      </c>
      <c r="B874" s="476" t="s">
        <v>31</v>
      </c>
      <c r="C874" s="246">
        <v>3</v>
      </c>
      <c r="D874" s="244">
        <v>2559.83</v>
      </c>
      <c r="E874" s="150"/>
      <c r="F874" s="150"/>
      <c r="G874" s="153">
        <f t="shared" si="101"/>
        <v>2835338.2160000028</v>
      </c>
      <c r="H874" s="480" t="s">
        <v>25</v>
      </c>
      <c r="I874" s="412" t="s">
        <v>116</v>
      </c>
      <c r="J874" s="412" t="s">
        <v>117</v>
      </c>
      <c r="K874" s="14"/>
      <c r="L874" s="412" t="s">
        <v>437</v>
      </c>
      <c r="M874" t="str">
        <f t="shared" si="100"/>
        <v/>
      </c>
      <c r="N874" t="str">
        <f t="shared" si="98"/>
        <v/>
      </c>
    </row>
    <row r="875" spans="1:14" ht="15" thickBot="1">
      <c r="A875" s="69">
        <v>46273</v>
      </c>
      <c r="B875" s="70" t="s">
        <v>604</v>
      </c>
      <c r="C875" s="72"/>
      <c r="D875" s="73"/>
      <c r="E875" s="70">
        <v>83.99</v>
      </c>
      <c r="F875" s="72">
        <v>71358.789999999994</v>
      </c>
      <c r="G875" s="74">
        <f>G874+F875</f>
        <v>2906697.0060000028</v>
      </c>
      <c r="H875" s="75" t="s">
        <v>10</v>
      </c>
      <c r="I875" s="501" t="s">
        <v>127</v>
      </c>
      <c r="J875" s="519" t="s">
        <v>740</v>
      </c>
      <c r="K875" s="501" t="s">
        <v>127</v>
      </c>
      <c r="L875" s="412"/>
      <c r="M875" t="str">
        <f t="shared" si="100"/>
        <v/>
      </c>
      <c r="N875" t="str">
        <f t="shared" si="98"/>
        <v/>
      </c>
    </row>
    <row r="876" spans="1:14" ht="15" thickBot="1">
      <c r="A876" s="69">
        <v>46273</v>
      </c>
      <c r="B876" s="70" t="s">
        <v>605</v>
      </c>
      <c r="C876" s="72"/>
      <c r="D876" s="73"/>
      <c r="E876" s="70">
        <v>139.16999999999999</v>
      </c>
      <c r="F876" s="72">
        <v>118235.58</v>
      </c>
      <c r="G876" s="74">
        <f>G875+F876</f>
        <v>3024932.5860000029</v>
      </c>
      <c r="H876" s="75" t="s">
        <v>10</v>
      </c>
      <c r="I876" s="501" t="s">
        <v>127</v>
      </c>
      <c r="J876" s="519" t="s">
        <v>740</v>
      </c>
      <c r="K876" s="501" t="s">
        <v>127</v>
      </c>
      <c r="L876" s="15"/>
      <c r="M876" t="str">
        <f t="shared" si="100"/>
        <v/>
      </c>
      <c r="N876" t="str">
        <f t="shared" si="98"/>
        <v/>
      </c>
    </row>
    <row r="877" spans="1:14" ht="15" thickBot="1">
      <c r="A877" s="69">
        <v>46274</v>
      </c>
      <c r="B877" s="70" t="s">
        <v>606</v>
      </c>
      <c r="C877" s="72"/>
      <c r="D877" s="73"/>
      <c r="E877" s="70">
        <v>62.29</v>
      </c>
      <c r="F877" s="72">
        <v>52916</v>
      </c>
      <c r="G877" s="74">
        <f t="shared" ref="G877:G878" si="102">G876+F877</f>
        <v>3077848.5860000029</v>
      </c>
      <c r="H877" s="75" t="s">
        <v>13</v>
      </c>
      <c r="I877" s="501" t="s">
        <v>127</v>
      </c>
      <c r="J877" s="519" t="s">
        <v>738</v>
      </c>
      <c r="K877" s="501" t="s">
        <v>127</v>
      </c>
      <c r="L877" s="15"/>
      <c r="M877" t="str">
        <f t="shared" si="100"/>
        <v/>
      </c>
      <c r="N877" t="str">
        <f t="shared" si="98"/>
        <v/>
      </c>
    </row>
    <row r="878" spans="1:14" ht="15" thickBot="1">
      <c r="A878" s="69">
        <v>46274</v>
      </c>
      <c r="B878" s="70" t="s">
        <v>582</v>
      </c>
      <c r="C878" s="72"/>
      <c r="D878" s="73"/>
      <c r="E878" s="70">
        <v>32.78</v>
      </c>
      <c r="F878" s="72">
        <v>27850.53</v>
      </c>
      <c r="G878" s="74">
        <f t="shared" si="102"/>
        <v>3105699.1160000027</v>
      </c>
      <c r="H878" s="75" t="s">
        <v>13</v>
      </c>
      <c r="I878" s="501" t="s">
        <v>127</v>
      </c>
      <c r="J878" s="519" t="s">
        <v>738</v>
      </c>
      <c r="K878" s="501" t="s">
        <v>127</v>
      </c>
      <c r="L878" s="15"/>
      <c r="M878" t="str">
        <f t="shared" si="100"/>
        <v/>
      </c>
      <c r="N878" t="str">
        <f t="shared" si="98"/>
        <v/>
      </c>
    </row>
    <row r="879" spans="1:14" ht="15" thickBot="1">
      <c r="A879" s="281">
        <v>46274</v>
      </c>
      <c r="B879" s="363" t="s">
        <v>309</v>
      </c>
      <c r="C879" s="246">
        <v>0.93</v>
      </c>
      <c r="D879" s="244">
        <v>793.74</v>
      </c>
      <c r="E879" s="150"/>
      <c r="F879" s="150"/>
      <c r="G879" s="153">
        <f>G878-D879</f>
        <v>3104905.3760000025</v>
      </c>
      <c r="H879" s="480" t="s">
        <v>13</v>
      </c>
      <c r="I879" s="412" t="s">
        <v>116</v>
      </c>
      <c r="J879" s="412" t="s">
        <v>117</v>
      </c>
      <c r="K879" s="14"/>
      <c r="L879" s="412" t="s">
        <v>437</v>
      </c>
      <c r="M879" t="str">
        <f t="shared" si="100"/>
        <v/>
      </c>
      <c r="N879" t="str">
        <f t="shared" si="98"/>
        <v/>
      </c>
    </row>
    <row r="880" spans="1:14" ht="15" thickBot="1">
      <c r="A880" s="281">
        <v>46274</v>
      </c>
      <c r="B880" s="363" t="s">
        <v>309</v>
      </c>
      <c r="C880" s="246">
        <v>0.49</v>
      </c>
      <c r="D880" s="244">
        <v>417.75</v>
      </c>
      <c r="E880" s="150"/>
      <c r="F880" s="150"/>
      <c r="G880" s="153">
        <f>G879-D880</f>
        <v>3104487.6260000025</v>
      </c>
      <c r="H880" s="480" t="s">
        <v>13</v>
      </c>
      <c r="I880" s="412" t="s">
        <v>116</v>
      </c>
      <c r="J880" s="412" t="s">
        <v>117</v>
      </c>
      <c r="K880" s="14"/>
      <c r="L880" s="412" t="s">
        <v>437</v>
      </c>
      <c r="M880" t="str">
        <f t="shared" si="100"/>
        <v/>
      </c>
      <c r="N880" t="str">
        <f t="shared" si="98"/>
        <v/>
      </c>
    </row>
    <row r="881" spans="1:14" ht="15" thickBot="1">
      <c r="A881" s="281">
        <v>46274</v>
      </c>
      <c r="B881" s="479" t="s">
        <v>607</v>
      </c>
      <c r="C881" s="246">
        <v>14.86</v>
      </c>
      <c r="D881" s="244">
        <v>12622.5</v>
      </c>
      <c r="E881" s="150"/>
      <c r="F881" s="150"/>
      <c r="G881" s="153">
        <f>G880-D881</f>
        <v>3091865.1260000025</v>
      </c>
      <c r="H881" s="480" t="s">
        <v>13</v>
      </c>
      <c r="I881" s="412" t="s">
        <v>116</v>
      </c>
      <c r="J881" s="501" t="s">
        <v>269</v>
      </c>
      <c r="K881" s="14"/>
      <c r="L881" s="412" t="s">
        <v>437</v>
      </c>
      <c r="M881" t="str">
        <f t="shared" si="100"/>
        <v/>
      </c>
      <c r="N881" t="str">
        <f t="shared" si="98"/>
        <v/>
      </c>
    </row>
    <row r="882" spans="1:14" ht="15" thickBot="1">
      <c r="A882" s="281">
        <v>46274</v>
      </c>
      <c r="B882" s="479" t="s">
        <v>608</v>
      </c>
      <c r="C882" s="246">
        <v>33.79</v>
      </c>
      <c r="D882" s="244">
        <v>28703.56</v>
      </c>
      <c r="E882" s="150"/>
      <c r="F882" s="150"/>
      <c r="G882" s="153">
        <f>G881-D882</f>
        <v>3063161.5660000024</v>
      </c>
      <c r="H882" s="480" t="s">
        <v>10</v>
      </c>
      <c r="I882" s="500" t="s">
        <v>119</v>
      </c>
      <c r="J882" s="501" t="s">
        <v>443</v>
      </c>
      <c r="K882" s="14"/>
      <c r="L882" s="412" t="s">
        <v>437</v>
      </c>
      <c r="M882" t="str">
        <f t="shared" si="100"/>
        <v/>
      </c>
      <c r="N882" t="str">
        <f t="shared" si="98"/>
        <v/>
      </c>
    </row>
    <row r="883" spans="1:14" ht="15" thickBot="1">
      <c r="A883" s="281">
        <v>46274</v>
      </c>
      <c r="B883" s="476" t="s">
        <v>31</v>
      </c>
      <c r="C883" s="246">
        <v>0.1</v>
      </c>
      <c r="D883" s="244">
        <v>86.11</v>
      </c>
      <c r="E883" s="150"/>
      <c r="F883" s="150"/>
      <c r="G883" s="153">
        <f>G882-D883</f>
        <v>3063075.4560000026</v>
      </c>
      <c r="H883" s="480" t="s">
        <v>25</v>
      </c>
      <c r="I883" s="412" t="s">
        <v>116</v>
      </c>
      <c r="J883" s="412" t="s">
        <v>117</v>
      </c>
      <c r="K883" s="14"/>
      <c r="L883" s="412" t="s">
        <v>437</v>
      </c>
      <c r="M883" t="str">
        <f t="shared" si="100"/>
        <v/>
      </c>
      <c r="N883" t="str">
        <f t="shared" si="98"/>
        <v/>
      </c>
    </row>
    <row r="884" spans="1:14" ht="15" thickBot="1">
      <c r="A884" s="69">
        <v>46275</v>
      </c>
      <c r="B884" s="70" t="s">
        <v>609</v>
      </c>
      <c r="C884" s="72"/>
      <c r="D884" s="73"/>
      <c r="E884" s="70">
        <v>51.39</v>
      </c>
      <c r="F884" s="72">
        <v>43662.91</v>
      </c>
      <c r="G884" s="74">
        <f>G883+F884</f>
        <v>3106738.3660000027</v>
      </c>
      <c r="H884" s="75" t="s">
        <v>610</v>
      </c>
      <c r="I884" s="501" t="s">
        <v>127</v>
      </c>
      <c r="J884" s="519" t="s">
        <v>738</v>
      </c>
      <c r="K884" s="501" t="s">
        <v>127</v>
      </c>
      <c r="L884" s="15"/>
      <c r="M884" t="str">
        <f t="shared" si="100"/>
        <v/>
      </c>
      <c r="N884" t="str">
        <f t="shared" si="98"/>
        <v/>
      </c>
    </row>
    <row r="885" spans="1:14" ht="15" thickBot="1">
      <c r="A885" s="69">
        <v>46275</v>
      </c>
      <c r="B885" s="70" t="s">
        <v>583</v>
      </c>
      <c r="C885" s="72"/>
      <c r="D885" s="73"/>
      <c r="E885" s="70">
        <v>19.809999999999999</v>
      </c>
      <c r="F885" s="72">
        <v>16829.89</v>
      </c>
      <c r="G885" s="74">
        <f>G884+F885</f>
        <v>3123568.2560000028</v>
      </c>
      <c r="H885" s="75" t="s">
        <v>610</v>
      </c>
      <c r="I885" s="501" t="s">
        <v>127</v>
      </c>
      <c r="J885" s="519" t="s">
        <v>738</v>
      </c>
      <c r="K885" s="501" t="s">
        <v>127</v>
      </c>
      <c r="L885" s="15"/>
      <c r="M885" t="str">
        <f t="shared" si="100"/>
        <v/>
      </c>
      <c r="N885" t="str">
        <f t="shared" si="98"/>
        <v/>
      </c>
    </row>
    <row r="886" spans="1:14" ht="15" thickBot="1">
      <c r="A886" s="281">
        <v>46275</v>
      </c>
      <c r="B886" s="363" t="s">
        <v>309</v>
      </c>
      <c r="C886" s="246">
        <v>0.77</v>
      </c>
      <c r="D886" s="244">
        <v>654.94000000000005</v>
      </c>
      <c r="E886" s="150"/>
      <c r="F886" s="150"/>
      <c r="G886" s="153">
        <f t="shared" ref="G886:G894" si="103">G885-D886</f>
        <v>3122913.3160000029</v>
      </c>
      <c r="H886" s="480" t="s">
        <v>25</v>
      </c>
      <c r="I886" s="412" t="s">
        <v>116</v>
      </c>
      <c r="J886" s="412" t="s">
        <v>117</v>
      </c>
      <c r="K886" s="14"/>
      <c r="L886" s="412" t="s">
        <v>437</v>
      </c>
      <c r="M886" t="str">
        <f t="shared" si="100"/>
        <v/>
      </c>
      <c r="N886" t="str">
        <f t="shared" si="98"/>
        <v/>
      </c>
    </row>
    <row r="887" spans="1:14" ht="15" thickBot="1">
      <c r="A887" s="281">
        <v>46275</v>
      </c>
      <c r="B887" s="363" t="s">
        <v>309</v>
      </c>
      <c r="C887" s="246">
        <v>0.3</v>
      </c>
      <c r="D887" s="244">
        <v>252.44</v>
      </c>
      <c r="E887" s="150"/>
      <c r="F887" s="150"/>
      <c r="G887" s="153">
        <f t="shared" si="103"/>
        <v>3122660.876000003</v>
      </c>
      <c r="H887" s="480" t="s">
        <v>25</v>
      </c>
      <c r="I887" s="412" t="s">
        <v>116</v>
      </c>
      <c r="J887" s="412" t="s">
        <v>117</v>
      </c>
      <c r="K887" s="14"/>
      <c r="L887" s="412" t="s">
        <v>437</v>
      </c>
      <c r="M887" t="str">
        <f t="shared" si="100"/>
        <v/>
      </c>
      <c r="N887" t="str">
        <f t="shared" si="98"/>
        <v/>
      </c>
    </row>
    <row r="888" spans="1:14" ht="15" thickBot="1">
      <c r="A888" s="281">
        <v>46275</v>
      </c>
      <c r="B888" s="479" t="s">
        <v>611</v>
      </c>
      <c r="C888" s="246">
        <v>65.22</v>
      </c>
      <c r="D888" s="244">
        <v>55408.9</v>
      </c>
      <c r="E888" s="150"/>
      <c r="F888" s="150"/>
      <c r="G888" s="153">
        <f t="shared" si="103"/>
        <v>3067251.9760000031</v>
      </c>
      <c r="H888" s="480" t="s">
        <v>13</v>
      </c>
      <c r="I888" s="500" t="s">
        <v>119</v>
      </c>
      <c r="J888" s="501" t="s">
        <v>128</v>
      </c>
      <c r="K888" s="14"/>
      <c r="L888" s="501" t="s">
        <v>437</v>
      </c>
      <c r="M888" t="str">
        <f t="shared" si="100"/>
        <v/>
      </c>
      <c r="N888" t="str">
        <f t="shared" si="98"/>
        <v/>
      </c>
    </row>
    <row r="889" spans="1:14" ht="15" thickBot="1">
      <c r="A889" s="281">
        <v>46275</v>
      </c>
      <c r="B889" s="479" t="s">
        <v>612</v>
      </c>
      <c r="C889" s="246">
        <v>17.53</v>
      </c>
      <c r="D889" s="244">
        <v>14891.25</v>
      </c>
      <c r="E889" s="150"/>
      <c r="F889" s="150"/>
      <c r="G889" s="153">
        <f t="shared" si="103"/>
        <v>3052360.7260000031</v>
      </c>
      <c r="H889" s="480" t="s">
        <v>13</v>
      </c>
      <c r="I889" s="500" t="s">
        <v>119</v>
      </c>
      <c r="J889" s="501" t="s">
        <v>128</v>
      </c>
      <c r="K889" s="14"/>
      <c r="L889" s="501" t="s">
        <v>437</v>
      </c>
      <c r="M889" t="str">
        <f t="shared" si="100"/>
        <v/>
      </c>
      <c r="N889" t="str">
        <f t="shared" si="98"/>
        <v/>
      </c>
    </row>
    <row r="890" spans="1:14" ht="15" thickBot="1">
      <c r="A890" s="281">
        <v>46275</v>
      </c>
      <c r="B890" s="479" t="s">
        <v>613</v>
      </c>
      <c r="C890" s="246">
        <v>23.38</v>
      </c>
      <c r="D890" s="244">
        <v>19865</v>
      </c>
      <c r="E890" s="150"/>
      <c r="F890" s="150"/>
      <c r="G890" s="153">
        <f t="shared" si="103"/>
        <v>3032495.7260000031</v>
      </c>
      <c r="H890" s="480" t="s">
        <v>13</v>
      </c>
      <c r="I890" s="500" t="s">
        <v>119</v>
      </c>
      <c r="J890" s="501" t="s">
        <v>128</v>
      </c>
      <c r="K890" s="14"/>
      <c r="L890" s="501" t="s">
        <v>437</v>
      </c>
      <c r="M890" t="str">
        <f t="shared" si="100"/>
        <v/>
      </c>
      <c r="N890" t="str">
        <f t="shared" si="98"/>
        <v/>
      </c>
    </row>
    <row r="891" spans="1:14" ht="15" thickBot="1">
      <c r="A891" s="281">
        <v>46275</v>
      </c>
      <c r="B891" s="479" t="s">
        <v>614</v>
      </c>
      <c r="C891" s="246">
        <v>97.43</v>
      </c>
      <c r="D891" s="244">
        <v>82773.710000000006</v>
      </c>
      <c r="E891" s="150"/>
      <c r="F891" s="150"/>
      <c r="G891" s="153">
        <f t="shared" si="103"/>
        <v>2949722.0160000031</v>
      </c>
      <c r="H891" s="480" t="s">
        <v>10</v>
      </c>
      <c r="I891" s="500" t="s">
        <v>119</v>
      </c>
      <c r="J891" s="501" t="s">
        <v>129</v>
      </c>
      <c r="K891" s="14"/>
      <c r="L891" s="501" t="s">
        <v>437</v>
      </c>
      <c r="M891" t="str">
        <f t="shared" si="100"/>
        <v/>
      </c>
      <c r="N891" t="str">
        <f t="shared" si="98"/>
        <v/>
      </c>
    </row>
    <row r="892" spans="1:14" ht="15" thickBot="1">
      <c r="A892" s="281">
        <v>46275</v>
      </c>
      <c r="B892" s="476" t="s">
        <v>31</v>
      </c>
      <c r="C892" s="246">
        <v>0.28999999999999998</v>
      </c>
      <c r="D892" s="244">
        <v>248.32</v>
      </c>
      <c r="E892" s="150"/>
      <c r="F892" s="150"/>
      <c r="G892" s="153">
        <f t="shared" si="103"/>
        <v>2949473.6960000033</v>
      </c>
      <c r="H892" s="480" t="s">
        <v>25</v>
      </c>
      <c r="I892" s="412" t="s">
        <v>116</v>
      </c>
      <c r="J892" s="412" t="s">
        <v>117</v>
      </c>
      <c r="K892" s="14"/>
      <c r="L892" s="412" t="s">
        <v>437</v>
      </c>
      <c r="M892" t="str">
        <f t="shared" si="100"/>
        <v/>
      </c>
      <c r="N892" t="str">
        <f t="shared" si="98"/>
        <v/>
      </c>
    </row>
    <row r="893" spans="1:14" ht="15" thickBot="1">
      <c r="A893" s="281">
        <v>46275</v>
      </c>
      <c r="B893" s="479" t="s">
        <v>615</v>
      </c>
      <c r="C893" s="246">
        <v>38.97</v>
      </c>
      <c r="D893" s="244">
        <v>33109.480000000003</v>
      </c>
      <c r="E893" s="150"/>
      <c r="F893" s="150"/>
      <c r="G893" s="153">
        <f t="shared" si="103"/>
        <v>2916364.2160000033</v>
      </c>
      <c r="H893" s="480" t="s">
        <v>10</v>
      </c>
      <c r="I893" s="500" t="s">
        <v>116</v>
      </c>
      <c r="J893" s="501" t="s">
        <v>121</v>
      </c>
      <c r="K893" s="14"/>
      <c r="L893" s="501" t="s">
        <v>437</v>
      </c>
      <c r="M893" t="str">
        <f t="shared" si="100"/>
        <v/>
      </c>
      <c r="N893" t="str">
        <f t="shared" si="98"/>
        <v/>
      </c>
    </row>
    <row r="894" spans="1:14" ht="15" thickBot="1">
      <c r="A894" s="281">
        <v>46275</v>
      </c>
      <c r="B894" s="479" t="s">
        <v>31</v>
      </c>
      <c r="C894" s="246">
        <v>0.12</v>
      </c>
      <c r="D894" s="484">
        <v>99.32</v>
      </c>
      <c r="E894" s="150"/>
      <c r="F894" s="150"/>
      <c r="G894" s="153">
        <f t="shared" si="103"/>
        <v>2916264.8960000034</v>
      </c>
      <c r="H894" s="486" t="s">
        <v>25</v>
      </c>
      <c r="I894" s="412" t="s">
        <v>116</v>
      </c>
      <c r="J894" s="412" t="s">
        <v>117</v>
      </c>
      <c r="K894" s="14"/>
      <c r="L894" s="412" t="s">
        <v>437</v>
      </c>
      <c r="M894" t="str">
        <f t="shared" si="100"/>
        <v/>
      </c>
      <c r="N894" t="str">
        <f t="shared" si="98"/>
        <v/>
      </c>
    </row>
    <row r="895" spans="1:14" ht="15" thickBot="1">
      <c r="A895" s="69">
        <v>46275</v>
      </c>
      <c r="B895" s="70" t="s">
        <v>616</v>
      </c>
      <c r="C895" s="71"/>
      <c r="D895" s="72"/>
      <c r="E895" s="487">
        <v>130.1</v>
      </c>
      <c r="F895" s="73">
        <v>110527.2</v>
      </c>
      <c r="G895" s="74">
        <f>G894+F895</f>
        <v>3026792.0960000036</v>
      </c>
      <c r="H895" s="75" t="s">
        <v>10</v>
      </c>
      <c r="I895" s="500" t="s">
        <v>127</v>
      </c>
      <c r="J895" s="519" t="s">
        <v>740</v>
      </c>
      <c r="K895" s="502" t="s">
        <v>127</v>
      </c>
      <c r="L895" s="15"/>
      <c r="M895" t="str">
        <f t="shared" si="100"/>
        <v/>
      </c>
      <c r="N895" t="str">
        <f t="shared" si="98"/>
        <v/>
      </c>
    </row>
    <row r="896" spans="1:14" ht="15" thickBot="1">
      <c r="A896" s="281">
        <v>46275</v>
      </c>
      <c r="B896" s="483" t="s">
        <v>617</v>
      </c>
      <c r="C896" s="246">
        <v>38.840000000000003</v>
      </c>
      <c r="D896" s="485">
        <v>33000</v>
      </c>
      <c r="E896" s="150"/>
      <c r="F896" s="150"/>
      <c r="G896" s="153">
        <f t="shared" ref="G896:G904" si="104">G895-D896</f>
        <v>2993792.0960000036</v>
      </c>
      <c r="H896" s="486" t="s">
        <v>10</v>
      </c>
      <c r="I896" s="500" t="s">
        <v>119</v>
      </c>
      <c r="J896" s="501" t="s">
        <v>128</v>
      </c>
      <c r="K896" s="14"/>
      <c r="L896" s="501" t="s">
        <v>437</v>
      </c>
      <c r="M896" t="str">
        <f t="shared" si="100"/>
        <v/>
      </c>
      <c r="N896" t="str">
        <f t="shared" si="98"/>
        <v/>
      </c>
    </row>
    <row r="897" spans="1:14" ht="15" thickBot="1">
      <c r="A897" s="488">
        <v>46275</v>
      </c>
      <c r="B897" s="483" t="s">
        <v>31</v>
      </c>
      <c r="C897" s="246">
        <v>0.12</v>
      </c>
      <c r="D897" s="244">
        <v>99</v>
      </c>
      <c r="E897" s="150"/>
      <c r="F897" s="150"/>
      <c r="G897" s="153">
        <f t="shared" si="104"/>
        <v>2993693.0960000036</v>
      </c>
      <c r="H897" s="486" t="s">
        <v>25</v>
      </c>
      <c r="I897" s="412" t="s">
        <v>116</v>
      </c>
      <c r="J897" s="412" t="s">
        <v>117</v>
      </c>
      <c r="K897" s="14"/>
      <c r="L897" s="412" t="s">
        <v>437</v>
      </c>
      <c r="M897" t="str">
        <f t="shared" si="100"/>
        <v/>
      </c>
      <c r="N897" t="str">
        <f t="shared" si="98"/>
        <v/>
      </c>
    </row>
    <row r="898" spans="1:14" ht="15" thickBot="1">
      <c r="A898" s="281">
        <v>46275</v>
      </c>
      <c r="B898" s="483" t="s">
        <v>618</v>
      </c>
      <c r="C898" s="246">
        <v>24.36</v>
      </c>
      <c r="D898" s="244">
        <v>20693.43</v>
      </c>
      <c r="E898" s="150"/>
      <c r="F898" s="150"/>
      <c r="G898" s="153">
        <f t="shared" si="104"/>
        <v>2972999.6660000035</v>
      </c>
      <c r="H898" s="486" t="s">
        <v>10</v>
      </c>
      <c r="I898" s="500" t="s">
        <v>119</v>
      </c>
      <c r="J898" s="501" t="s">
        <v>443</v>
      </c>
      <c r="K898" s="14"/>
      <c r="L898" s="501" t="s">
        <v>437</v>
      </c>
      <c r="M898" t="str">
        <f t="shared" si="100"/>
        <v/>
      </c>
      <c r="N898" t="str">
        <f t="shared" si="98"/>
        <v/>
      </c>
    </row>
    <row r="899" spans="1:14" ht="15" thickBot="1">
      <c r="A899" s="281">
        <v>46275</v>
      </c>
      <c r="B899" s="483" t="s">
        <v>31</v>
      </c>
      <c r="C899" s="246">
        <v>7.0000000000000007E-2</v>
      </c>
      <c r="D899" s="244">
        <v>62.08</v>
      </c>
      <c r="E899" s="150"/>
      <c r="F899" s="150"/>
      <c r="G899" s="153">
        <f t="shared" si="104"/>
        <v>2972937.5860000034</v>
      </c>
      <c r="H899" s="486" t="s">
        <v>25</v>
      </c>
      <c r="I899" s="412" t="s">
        <v>116</v>
      </c>
      <c r="J899" s="412" t="s">
        <v>117</v>
      </c>
      <c r="K899" s="14"/>
      <c r="L899" s="412" t="s">
        <v>437</v>
      </c>
      <c r="M899" t="str">
        <f t="shared" si="100"/>
        <v/>
      </c>
      <c r="N899" t="str">
        <f t="shared" si="98"/>
        <v/>
      </c>
    </row>
    <row r="900" spans="1:14" ht="15" thickBot="1">
      <c r="A900" s="281">
        <v>46275</v>
      </c>
      <c r="B900" s="483" t="s">
        <v>619</v>
      </c>
      <c r="C900" s="246">
        <v>19.39</v>
      </c>
      <c r="D900" s="244">
        <v>16476.66</v>
      </c>
      <c r="E900" s="150"/>
      <c r="F900" s="150"/>
      <c r="G900" s="153">
        <f t="shared" si="104"/>
        <v>2956460.9260000032</v>
      </c>
      <c r="H900" s="486" t="s">
        <v>13</v>
      </c>
      <c r="I900" s="500" t="s">
        <v>119</v>
      </c>
      <c r="J900" s="501" t="s">
        <v>128</v>
      </c>
      <c r="K900" s="14"/>
      <c r="L900" s="501" t="s">
        <v>437</v>
      </c>
      <c r="M900" t="str">
        <f t="shared" si="100"/>
        <v/>
      </c>
      <c r="N900" t="str">
        <f t="shared" ref="N900:N963" si="105">IF(C900="","",IF(C900=D900,"OJOOO",""))</f>
        <v/>
      </c>
    </row>
    <row r="901" spans="1:14" ht="15" thickBot="1">
      <c r="A901" s="281">
        <v>46275</v>
      </c>
      <c r="B901" s="483" t="s">
        <v>620</v>
      </c>
      <c r="C901" s="246">
        <v>1.66</v>
      </c>
      <c r="D901" s="244">
        <v>1411.46</v>
      </c>
      <c r="E901" s="150"/>
      <c r="F901" s="150"/>
      <c r="G901" s="153">
        <f t="shared" si="104"/>
        <v>2955049.4660000033</v>
      </c>
      <c r="H901" s="486" t="s">
        <v>13</v>
      </c>
      <c r="I901" s="500" t="s">
        <v>119</v>
      </c>
      <c r="J901" s="501" t="s">
        <v>128</v>
      </c>
      <c r="K901" s="14"/>
      <c r="L901" s="501" t="s">
        <v>437</v>
      </c>
      <c r="M901" t="str">
        <f t="shared" si="100"/>
        <v/>
      </c>
      <c r="N901" t="str">
        <f t="shared" si="105"/>
        <v/>
      </c>
    </row>
    <row r="902" spans="1:14" ht="15" thickBot="1">
      <c r="A902" s="281">
        <v>46275</v>
      </c>
      <c r="B902" s="483" t="s">
        <v>621</v>
      </c>
      <c r="C902" s="246">
        <v>6.5</v>
      </c>
      <c r="D902" s="244">
        <v>5522.68</v>
      </c>
      <c r="E902" s="150"/>
      <c r="F902" s="150"/>
      <c r="G902" s="153">
        <f t="shared" si="104"/>
        <v>2949526.7860000031</v>
      </c>
      <c r="H902" s="486" t="s">
        <v>13</v>
      </c>
      <c r="I902" s="500" t="s">
        <v>119</v>
      </c>
      <c r="J902" s="501" t="s">
        <v>128</v>
      </c>
      <c r="K902" s="14"/>
      <c r="L902" s="501" t="s">
        <v>437</v>
      </c>
      <c r="M902" t="str">
        <f t="shared" si="100"/>
        <v/>
      </c>
      <c r="N902" t="str">
        <f t="shared" si="105"/>
        <v/>
      </c>
    </row>
    <row r="903" spans="1:14" ht="15" thickBot="1">
      <c r="A903" s="281">
        <v>46275</v>
      </c>
      <c r="B903" s="483" t="s">
        <v>622</v>
      </c>
      <c r="C903" s="246">
        <v>38.97</v>
      </c>
      <c r="D903" s="244">
        <v>33109.480000000003</v>
      </c>
      <c r="E903" s="150"/>
      <c r="F903" s="150"/>
      <c r="G903" s="153">
        <f t="shared" si="104"/>
        <v>2916417.3060000031</v>
      </c>
      <c r="H903" s="486" t="s">
        <v>10</v>
      </c>
      <c r="I903" s="500" t="s">
        <v>119</v>
      </c>
      <c r="J903" s="501" t="s">
        <v>443</v>
      </c>
      <c r="K903" s="14"/>
      <c r="L903" s="501" t="s">
        <v>437</v>
      </c>
      <c r="M903" t="str">
        <f t="shared" si="100"/>
        <v/>
      </c>
      <c r="N903" t="str">
        <f t="shared" si="105"/>
        <v/>
      </c>
    </row>
    <row r="904" spans="1:14" ht="15" thickBot="1">
      <c r="A904" s="281">
        <v>46275</v>
      </c>
      <c r="B904" s="483" t="s">
        <v>31</v>
      </c>
      <c r="C904" s="246">
        <v>0.12</v>
      </c>
      <c r="D904" s="244">
        <v>99.32</v>
      </c>
      <c r="E904" s="150"/>
      <c r="F904" s="150"/>
      <c r="G904" s="153">
        <f t="shared" si="104"/>
        <v>2916317.9860000033</v>
      </c>
      <c r="H904" s="486" t="s">
        <v>25</v>
      </c>
      <c r="I904" s="412" t="s">
        <v>116</v>
      </c>
      <c r="J904" s="412" t="s">
        <v>117</v>
      </c>
      <c r="K904" s="14"/>
      <c r="L904" s="412" t="s">
        <v>437</v>
      </c>
      <c r="M904" t="str">
        <f t="shared" si="100"/>
        <v/>
      </c>
      <c r="N904" t="str">
        <f t="shared" si="105"/>
        <v/>
      </c>
    </row>
    <row r="905" spans="1:14" ht="15" thickBot="1">
      <c r="A905" s="69">
        <v>46275</v>
      </c>
      <c r="B905" s="70" t="s">
        <v>626</v>
      </c>
      <c r="C905" s="72"/>
      <c r="D905" s="73"/>
      <c r="E905" s="72">
        <v>70</v>
      </c>
      <c r="F905" s="72">
        <v>58948.45</v>
      </c>
      <c r="G905" s="74">
        <f>G904+F905</f>
        <v>2975266.4360000035</v>
      </c>
      <c r="H905" s="75" t="s">
        <v>10</v>
      </c>
      <c r="I905" s="500" t="s">
        <v>127</v>
      </c>
      <c r="J905" s="521" t="s">
        <v>740</v>
      </c>
      <c r="K905" s="502" t="s">
        <v>127</v>
      </c>
      <c r="L905" s="15"/>
      <c r="M905" t="str">
        <f t="shared" si="100"/>
        <v/>
      </c>
      <c r="N905" t="str">
        <f t="shared" si="105"/>
        <v/>
      </c>
    </row>
    <row r="906" spans="1:14" ht="15" thickBot="1">
      <c r="A906" s="69">
        <v>46276</v>
      </c>
      <c r="B906" s="70" t="s">
        <v>594</v>
      </c>
      <c r="C906" s="72"/>
      <c r="D906" s="73"/>
      <c r="E906" s="72">
        <f>F906/849.45</f>
        <v>30.003684737182883</v>
      </c>
      <c r="F906" s="72">
        <v>25486.63</v>
      </c>
      <c r="G906" s="74">
        <f>G905+F906</f>
        <v>3000753.0660000034</v>
      </c>
      <c r="H906" s="75" t="s">
        <v>13</v>
      </c>
      <c r="I906" s="501" t="s">
        <v>127</v>
      </c>
      <c r="J906" s="519" t="s">
        <v>738</v>
      </c>
      <c r="K906" s="501" t="s">
        <v>127</v>
      </c>
      <c r="L906" s="15"/>
      <c r="M906" t="str">
        <f t="shared" si="100"/>
        <v/>
      </c>
      <c r="N906" t="str">
        <f t="shared" si="105"/>
        <v/>
      </c>
    </row>
    <row r="907" spans="1:14" ht="15" thickBot="1">
      <c r="A907" s="69">
        <v>46276</v>
      </c>
      <c r="B907" s="70" t="s">
        <v>623</v>
      </c>
      <c r="C907" s="72"/>
      <c r="D907" s="73"/>
      <c r="E907" s="70">
        <v>26.67</v>
      </c>
      <c r="F907" s="72">
        <v>22654.78</v>
      </c>
      <c r="G907" s="74">
        <f t="shared" ref="G907:G909" si="106">G906+F907</f>
        <v>3023407.8460000032</v>
      </c>
      <c r="H907" s="75" t="s">
        <v>13</v>
      </c>
      <c r="I907" s="501" t="s">
        <v>127</v>
      </c>
      <c r="J907" s="519" t="s">
        <v>738</v>
      </c>
      <c r="K907" s="501" t="s">
        <v>127</v>
      </c>
      <c r="L907" s="15"/>
      <c r="M907" t="str">
        <f t="shared" si="100"/>
        <v/>
      </c>
      <c r="N907" t="str">
        <f t="shared" si="105"/>
        <v/>
      </c>
    </row>
    <row r="908" spans="1:14" ht="15" thickBot="1">
      <c r="A908" s="69">
        <v>46276</v>
      </c>
      <c r="B908" s="70" t="s">
        <v>624</v>
      </c>
      <c r="C908" s="72"/>
      <c r="D908" s="73"/>
      <c r="E908" s="70">
        <v>3.55</v>
      </c>
      <c r="F908" s="72">
        <v>3017.58</v>
      </c>
      <c r="G908" s="74">
        <f t="shared" si="106"/>
        <v>3026425.4260000032</v>
      </c>
      <c r="H908" s="75" t="s">
        <v>13</v>
      </c>
      <c r="I908" s="501" t="s">
        <v>127</v>
      </c>
      <c r="J908" s="519" t="s">
        <v>743</v>
      </c>
      <c r="K908" s="501" t="s">
        <v>127</v>
      </c>
      <c r="L908" s="15"/>
      <c r="M908" t="str">
        <f t="shared" si="100"/>
        <v/>
      </c>
      <c r="N908" t="str">
        <f t="shared" si="105"/>
        <v/>
      </c>
    </row>
    <row r="909" spans="1:14" ht="15" thickBot="1">
      <c r="A909" s="69">
        <v>46276</v>
      </c>
      <c r="B909" s="70" t="s">
        <v>625</v>
      </c>
      <c r="C909" s="72"/>
      <c r="D909" s="73"/>
      <c r="E909" s="70">
        <v>0.86</v>
      </c>
      <c r="F909" s="72">
        <v>730.07</v>
      </c>
      <c r="G909" s="74">
        <f t="shared" si="106"/>
        <v>3027155.4960000031</v>
      </c>
      <c r="H909" s="75" t="s">
        <v>13</v>
      </c>
      <c r="I909" s="501" t="s">
        <v>127</v>
      </c>
      <c r="J909" s="519" t="s">
        <v>743</v>
      </c>
      <c r="K909" s="501" t="s">
        <v>127</v>
      </c>
      <c r="L909" s="15"/>
      <c r="M909" t="str">
        <f t="shared" si="100"/>
        <v/>
      </c>
      <c r="N909" t="str">
        <f t="shared" si="105"/>
        <v/>
      </c>
    </row>
    <row r="910" spans="1:14" ht="15" thickBot="1">
      <c r="A910" s="281">
        <v>46276</v>
      </c>
      <c r="B910" s="363" t="s">
        <v>309</v>
      </c>
      <c r="C910" s="246"/>
      <c r="D910" s="244">
        <v>382.29</v>
      </c>
      <c r="E910" s="150"/>
      <c r="F910" s="150"/>
      <c r="G910" s="153">
        <f>G909-D910</f>
        <v>3026773.206000003</v>
      </c>
      <c r="H910" s="486" t="s">
        <v>25</v>
      </c>
      <c r="I910" s="412" t="s">
        <v>116</v>
      </c>
      <c r="J910" s="412" t="s">
        <v>117</v>
      </c>
      <c r="K910" s="14"/>
      <c r="L910" s="412" t="s">
        <v>437</v>
      </c>
      <c r="M910" t="str">
        <f t="shared" si="100"/>
        <v/>
      </c>
      <c r="N910" t="str">
        <f t="shared" si="105"/>
        <v/>
      </c>
    </row>
    <row r="911" spans="1:14" ht="15" thickBot="1">
      <c r="A911" s="281">
        <v>46276</v>
      </c>
      <c r="B911" s="363" t="s">
        <v>309</v>
      </c>
      <c r="C911" s="246"/>
      <c r="D911" s="244">
        <v>339.82</v>
      </c>
      <c r="E911" s="150"/>
      <c r="F911" s="150"/>
      <c r="G911" s="153">
        <f t="shared" ref="G911:G913" si="107">G910-D911</f>
        <v>3026433.3860000032</v>
      </c>
      <c r="H911" s="486" t="s">
        <v>25</v>
      </c>
      <c r="I911" s="412" t="s">
        <v>116</v>
      </c>
      <c r="J911" s="412" t="s">
        <v>117</v>
      </c>
      <c r="K911" s="14"/>
      <c r="L911" s="412" t="s">
        <v>437</v>
      </c>
      <c r="M911" t="str">
        <f t="shared" si="100"/>
        <v/>
      </c>
      <c r="N911" t="str">
        <f t="shared" si="105"/>
        <v/>
      </c>
    </row>
    <row r="912" spans="1:14" ht="15" thickBot="1">
      <c r="A912" s="281">
        <v>46276</v>
      </c>
      <c r="B912" s="363" t="s">
        <v>309</v>
      </c>
      <c r="C912" s="246"/>
      <c r="D912" s="244">
        <v>45.26</v>
      </c>
      <c r="E912" s="150"/>
      <c r="F912" s="150"/>
      <c r="G912" s="153">
        <f t="shared" si="107"/>
        <v>3026388.1260000034</v>
      </c>
      <c r="H912" s="486" t="s">
        <v>25</v>
      </c>
      <c r="I912" s="412" t="s">
        <v>116</v>
      </c>
      <c r="J912" s="412" t="s">
        <v>117</v>
      </c>
      <c r="K912" s="14"/>
      <c r="L912" s="412" t="s">
        <v>437</v>
      </c>
      <c r="M912" t="str">
        <f t="shared" si="100"/>
        <v/>
      </c>
      <c r="N912" t="str">
        <f t="shared" si="105"/>
        <v/>
      </c>
    </row>
    <row r="913" spans="1:14" ht="15" thickBot="1">
      <c r="A913" s="281">
        <v>46276</v>
      </c>
      <c r="B913" s="363" t="s">
        <v>309</v>
      </c>
      <c r="C913" s="246"/>
      <c r="D913" s="244">
        <v>10.95</v>
      </c>
      <c r="E913" s="150"/>
      <c r="F913" s="150"/>
      <c r="G913" s="153">
        <f t="shared" si="107"/>
        <v>3026377.1760000032</v>
      </c>
      <c r="H913" s="486" t="s">
        <v>25</v>
      </c>
      <c r="I913" s="412" t="s">
        <v>116</v>
      </c>
      <c r="J913" s="412" t="s">
        <v>117</v>
      </c>
      <c r="K913" s="14"/>
      <c r="L913" s="412" t="s">
        <v>437</v>
      </c>
      <c r="M913" t="str">
        <f t="shared" si="100"/>
        <v/>
      </c>
      <c r="N913" t="str">
        <f t="shared" si="105"/>
        <v/>
      </c>
    </row>
    <row r="914" spans="1:14" ht="15" thickBot="1">
      <c r="A914" s="69">
        <v>46276</v>
      </c>
      <c r="B914" s="70" t="s">
        <v>627</v>
      </c>
      <c r="C914" s="72"/>
      <c r="D914" s="73"/>
      <c r="E914" s="70">
        <v>67.709999999999994</v>
      </c>
      <c r="F914" s="72">
        <v>57715.49</v>
      </c>
      <c r="G914" s="74">
        <f>G913+F914</f>
        <v>3084092.6660000035</v>
      </c>
      <c r="H914" s="75" t="s">
        <v>10</v>
      </c>
      <c r="I914" s="501" t="s">
        <v>127</v>
      </c>
      <c r="J914" s="519" t="s">
        <v>740</v>
      </c>
      <c r="K914" s="501" t="s">
        <v>127</v>
      </c>
      <c r="L914" s="15"/>
      <c r="M914" t="str">
        <f t="shared" si="100"/>
        <v/>
      </c>
      <c r="N914" t="str">
        <f t="shared" si="105"/>
        <v/>
      </c>
    </row>
    <row r="915" spans="1:14" ht="15" thickBot="1">
      <c r="A915" s="69">
        <v>46276</v>
      </c>
      <c r="B915" s="378" t="s">
        <v>628</v>
      </c>
      <c r="C915" s="72"/>
      <c r="D915" s="73"/>
      <c r="E915" s="70">
        <v>141.94999999999999</v>
      </c>
      <c r="F915" s="72">
        <v>121003.75</v>
      </c>
      <c r="G915" s="74">
        <f>G914+F915</f>
        <v>3205096.4160000035</v>
      </c>
      <c r="H915" s="75" t="s">
        <v>10</v>
      </c>
      <c r="I915" s="501" t="s">
        <v>127</v>
      </c>
      <c r="J915" s="519" t="s">
        <v>740</v>
      </c>
      <c r="K915" s="501" t="s">
        <v>127</v>
      </c>
      <c r="L915" s="15"/>
      <c r="M915" t="str">
        <f t="shared" si="100"/>
        <v/>
      </c>
      <c r="N915" t="str">
        <f t="shared" si="105"/>
        <v/>
      </c>
    </row>
    <row r="916" spans="1:14" ht="15" thickBot="1">
      <c r="A916" s="69">
        <v>46276</v>
      </c>
      <c r="B916" s="70" t="s">
        <v>629</v>
      </c>
      <c r="C916" s="72"/>
      <c r="D916" s="73"/>
      <c r="E916" s="72">
        <v>568</v>
      </c>
      <c r="F916" s="72">
        <v>484172.85</v>
      </c>
      <c r="G916" s="74">
        <f>G915+F916</f>
        <v>3689269.2660000036</v>
      </c>
      <c r="H916" s="75" t="s">
        <v>10</v>
      </c>
      <c r="I916" s="501" t="s">
        <v>127</v>
      </c>
      <c r="J916" s="519" t="s">
        <v>740</v>
      </c>
      <c r="K916" s="501" t="s">
        <v>127</v>
      </c>
      <c r="L916" s="15"/>
      <c r="M916" t="str">
        <f t="shared" ref="M916:M979" si="108">IF(E916="","",IF(E916=F916,"OJOOO",""))</f>
        <v/>
      </c>
      <c r="N916" t="str">
        <f t="shared" si="105"/>
        <v/>
      </c>
    </row>
    <row r="917" spans="1:14" ht="15" thickBot="1">
      <c r="A917" s="69">
        <v>46276</v>
      </c>
      <c r="B917" s="70" t="s">
        <v>640</v>
      </c>
      <c r="C917" s="72"/>
      <c r="D917" s="73"/>
      <c r="E917" s="72">
        <v>1125.94</v>
      </c>
      <c r="F917" s="72">
        <v>959773.32</v>
      </c>
      <c r="G917" s="74">
        <f>G916+F917</f>
        <v>4649042.5860000039</v>
      </c>
      <c r="H917" s="75"/>
      <c r="I917" s="501" t="s">
        <v>127</v>
      </c>
      <c r="J917" s="519" t="s">
        <v>740</v>
      </c>
      <c r="K917" s="501" t="s">
        <v>127</v>
      </c>
      <c r="L917" s="15"/>
      <c r="M917" t="str">
        <f t="shared" si="108"/>
        <v/>
      </c>
      <c r="N917" t="str">
        <f t="shared" si="105"/>
        <v/>
      </c>
    </row>
    <row r="918" spans="1:14" ht="15" thickBot="1">
      <c r="A918" s="281">
        <v>46276</v>
      </c>
      <c r="B918" s="492" t="s">
        <v>654</v>
      </c>
      <c r="C918" s="246">
        <v>533.89</v>
      </c>
      <c r="D918" s="244">
        <v>455096.38</v>
      </c>
      <c r="E918" s="150"/>
      <c r="F918" s="150"/>
      <c r="G918" s="153">
        <f>G917-D918</f>
        <v>4193946.206000004</v>
      </c>
      <c r="H918" s="489" t="s">
        <v>10</v>
      </c>
      <c r="I918" s="497" t="s">
        <v>119</v>
      </c>
      <c r="J918" s="501" t="s">
        <v>128</v>
      </c>
      <c r="K918" s="15"/>
      <c r="L918" s="501" t="s">
        <v>437</v>
      </c>
      <c r="M918" t="str">
        <f t="shared" si="108"/>
        <v/>
      </c>
      <c r="N918" t="str">
        <f t="shared" si="105"/>
        <v/>
      </c>
    </row>
    <row r="919" spans="1:14" ht="15" thickBot="1">
      <c r="A919" s="281">
        <v>46276</v>
      </c>
      <c r="B919" s="490" t="s">
        <v>31</v>
      </c>
      <c r="C919" s="246">
        <v>1.6</v>
      </c>
      <c r="D919" s="244">
        <v>1365.28</v>
      </c>
      <c r="E919" s="150"/>
      <c r="F919" s="150"/>
      <c r="G919" s="153">
        <f>G918-D919</f>
        <v>4192580.9260000042</v>
      </c>
      <c r="H919" s="489" t="s">
        <v>25</v>
      </c>
      <c r="I919" s="412" t="s">
        <v>116</v>
      </c>
      <c r="J919" s="412" t="s">
        <v>117</v>
      </c>
      <c r="K919" s="14"/>
      <c r="L919" s="412" t="s">
        <v>437</v>
      </c>
      <c r="M919" t="str">
        <f t="shared" si="108"/>
        <v/>
      </c>
      <c r="N919" t="str">
        <f t="shared" si="105"/>
        <v/>
      </c>
    </row>
    <row r="920" spans="1:14" ht="15" thickBot="1">
      <c r="A920" s="69">
        <v>46277</v>
      </c>
      <c r="B920" s="70" t="s">
        <v>630</v>
      </c>
      <c r="C920" s="72"/>
      <c r="D920" s="73"/>
      <c r="E920" s="70">
        <v>50.08</v>
      </c>
      <c r="F920" s="72">
        <v>42691.74</v>
      </c>
      <c r="G920" s="74">
        <f>G919+F920</f>
        <v>4235272.6660000039</v>
      </c>
      <c r="H920" s="75" t="s">
        <v>13</v>
      </c>
      <c r="I920" s="501" t="s">
        <v>127</v>
      </c>
      <c r="J920" s="519" t="s">
        <v>738</v>
      </c>
      <c r="K920" s="501" t="s">
        <v>127</v>
      </c>
      <c r="L920" s="15"/>
      <c r="M920" t="str">
        <f t="shared" si="108"/>
        <v/>
      </c>
      <c r="N920" t="str">
        <f t="shared" si="105"/>
        <v/>
      </c>
    </row>
    <row r="921" spans="1:14" ht="15" thickBot="1">
      <c r="A921" s="69">
        <v>46277</v>
      </c>
      <c r="B921" s="70" t="s">
        <v>606</v>
      </c>
      <c r="C921" s="72"/>
      <c r="D921" s="73"/>
      <c r="E921" s="70">
        <v>29.36</v>
      </c>
      <c r="F921" s="72">
        <v>25022.93</v>
      </c>
      <c r="G921" s="74">
        <f t="shared" ref="G921:G923" si="109">G920+F921</f>
        <v>4260295.5960000036</v>
      </c>
      <c r="H921" s="75" t="s">
        <v>13</v>
      </c>
      <c r="I921" s="501" t="s">
        <v>127</v>
      </c>
      <c r="J921" s="519" t="s">
        <v>738</v>
      </c>
      <c r="K921" s="501" t="s">
        <v>127</v>
      </c>
      <c r="L921" s="15"/>
      <c r="M921" t="str">
        <f t="shared" si="108"/>
        <v/>
      </c>
      <c r="N921" t="str">
        <f t="shared" si="105"/>
        <v/>
      </c>
    </row>
    <row r="922" spans="1:14" ht="15" thickBot="1">
      <c r="A922" s="69">
        <v>46277</v>
      </c>
      <c r="B922" s="70" t="s">
        <v>631</v>
      </c>
      <c r="C922" s="72"/>
      <c r="D922" s="73"/>
      <c r="E922" s="70">
        <v>3.32</v>
      </c>
      <c r="F922" s="72">
        <v>2831.85</v>
      </c>
      <c r="G922" s="74">
        <f t="shared" si="109"/>
        <v>4263127.4460000033</v>
      </c>
      <c r="H922" s="75" t="s">
        <v>13</v>
      </c>
      <c r="I922" s="501" t="s">
        <v>127</v>
      </c>
      <c r="J922" s="519" t="s">
        <v>738</v>
      </c>
      <c r="K922" s="501" t="s">
        <v>127</v>
      </c>
      <c r="L922" s="15"/>
      <c r="M922" t="str">
        <f t="shared" si="108"/>
        <v/>
      </c>
      <c r="N922" t="str">
        <f t="shared" si="105"/>
        <v/>
      </c>
    </row>
    <row r="923" spans="1:14" ht="15" thickBot="1">
      <c r="A923" s="69">
        <v>46277</v>
      </c>
      <c r="B923" s="70" t="s">
        <v>632</v>
      </c>
      <c r="C923" s="72"/>
      <c r="D923" s="73"/>
      <c r="E923" s="70">
        <v>0.86</v>
      </c>
      <c r="F923" s="72">
        <v>734.25</v>
      </c>
      <c r="G923" s="74">
        <f t="shared" si="109"/>
        <v>4263861.6960000033</v>
      </c>
      <c r="H923" s="75" t="s">
        <v>13</v>
      </c>
      <c r="I923" s="501" t="s">
        <v>127</v>
      </c>
      <c r="J923" s="519" t="s">
        <v>741</v>
      </c>
      <c r="K923" s="501" t="s">
        <v>127</v>
      </c>
      <c r="L923" s="15"/>
      <c r="M923" t="str">
        <f t="shared" si="108"/>
        <v/>
      </c>
      <c r="N923" t="str">
        <f t="shared" si="105"/>
        <v/>
      </c>
    </row>
    <row r="924" spans="1:14" ht="15" thickBot="1">
      <c r="A924" s="281">
        <v>46277</v>
      </c>
      <c r="B924" s="363" t="s">
        <v>309</v>
      </c>
      <c r="C924" s="246">
        <v>0.75</v>
      </c>
      <c r="D924" s="244">
        <v>640.37</v>
      </c>
      <c r="E924" s="150"/>
      <c r="F924" s="150"/>
      <c r="G924" s="153">
        <f>G923-D924</f>
        <v>4263221.3260000031</v>
      </c>
      <c r="H924" s="489" t="s">
        <v>25</v>
      </c>
      <c r="I924" s="412" t="s">
        <v>116</v>
      </c>
      <c r="J924" s="412" t="s">
        <v>117</v>
      </c>
      <c r="K924" s="14"/>
      <c r="L924" s="412" t="s">
        <v>437</v>
      </c>
      <c r="M924" t="str">
        <f t="shared" si="108"/>
        <v/>
      </c>
      <c r="N924" t="str">
        <f t="shared" si="105"/>
        <v/>
      </c>
    </row>
    <row r="925" spans="1:14" ht="15" thickBot="1">
      <c r="A925" s="281">
        <v>46277</v>
      </c>
      <c r="B925" s="363" t="s">
        <v>309</v>
      </c>
      <c r="C925" s="246">
        <v>0.44</v>
      </c>
      <c r="D925" s="244">
        <v>375.34</v>
      </c>
      <c r="E925" s="150"/>
      <c r="F925" s="150"/>
      <c r="G925" s="153">
        <f t="shared" ref="G925:G927" si="110">G924-D925</f>
        <v>4262845.9860000033</v>
      </c>
      <c r="H925" s="489" t="s">
        <v>25</v>
      </c>
      <c r="I925" s="412" t="s">
        <v>116</v>
      </c>
      <c r="J925" s="412" t="s">
        <v>117</v>
      </c>
      <c r="K925" s="14"/>
      <c r="L925" s="412" t="s">
        <v>437</v>
      </c>
      <c r="M925" t="str">
        <f t="shared" si="108"/>
        <v/>
      </c>
      <c r="N925" t="str">
        <f t="shared" si="105"/>
        <v/>
      </c>
    </row>
    <row r="926" spans="1:14" ht="15" thickBot="1">
      <c r="A926" s="281">
        <v>46277</v>
      </c>
      <c r="B926" s="363" t="s">
        <v>309</v>
      </c>
      <c r="C926" s="246">
        <v>0.05</v>
      </c>
      <c r="D926" s="244">
        <v>42.47</v>
      </c>
      <c r="E926" s="150"/>
      <c r="F926" s="150"/>
      <c r="G926" s="153">
        <f t="shared" si="110"/>
        <v>4262803.5160000036</v>
      </c>
      <c r="H926" s="489" t="s">
        <v>25</v>
      </c>
      <c r="I926" s="412" t="s">
        <v>116</v>
      </c>
      <c r="J926" s="412" t="s">
        <v>117</v>
      </c>
      <c r="K926" s="14"/>
      <c r="L926" s="412" t="s">
        <v>437</v>
      </c>
      <c r="M926" t="str">
        <f t="shared" si="108"/>
        <v/>
      </c>
      <c r="N926" t="str">
        <f t="shared" si="105"/>
        <v/>
      </c>
    </row>
    <row r="927" spans="1:14" ht="15" thickBot="1">
      <c r="A927" s="281">
        <v>46277</v>
      </c>
      <c r="B927" s="363" t="s">
        <v>309</v>
      </c>
      <c r="C927" s="246">
        <v>0.01</v>
      </c>
      <c r="D927" s="244">
        <v>11.01</v>
      </c>
      <c r="E927" s="150"/>
      <c r="F927" s="150"/>
      <c r="G927" s="153">
        <f t="shared" si="110"/>
        <v>4262792.5060000038</v>
      </c>
      <c r="H927" s="489" t="s">
        <v>25</v>
      </c>
      <c r="I927" s="412" t="s">
        <v>116</v>
      </c>
      <c r="J927" s="412" t="s">
        <v>117</v>
      </c>
      <c r="K927" s="14"/>
      <c r="L927" s="412" t="s">
        <v>437</v>
      </c>
      <c r="M927" t="str">
        <f t="shared" si="108"/>
        <v/>
      </c>
      <c r="N927" t="str">
        <f t="shared" si="105"/>
        <v/>
      </c>
    </row>
    <row r="928" spans="1:14" ht="15" thickBot="1">
      <c r="A928" s="69">
        <v>46278</v>
      </c>
      <c r="B928" s="70" t="s">
        <v>609</v>
      </c>
      <c r="C928" s="72"/>
      <c r="D928" s="73"/>
      <c r="E928" s="70">
        <v>42.54</v>
      </c>
      <c r="F928" s="72">
        <v>36263.49</v>
      </c>
      <c r="G928" s="74">
        <f>G927+F928</f>
        <v>4299055.996000004</v>
      </c>
      <c r="H928" s="75" t="s">
        <v>13</v>
      </c>
      <c r="I928" s="501" t="s">
        <v>127</v>
      </c>
      <c r="J928" s="519" t="s">
        <v>738</v>
      </c>
      <c r="K928" s="501" t="s">
        <v>127</v>
      </c>
      <c r="L928" s="15"/>
      <c r="M928" t="str">
        <f t="shared" si="108"/>
        <v/>
      </c>
      <c r="N928" t="str">
        <f t="shared" si="105"/>
        <v/>
      </c>
    </row>
    <row r="929" spans="1:14" ht="15" thickBot="1">
      <c r="A929" s="69">
        <v>46278</v>
      </c>
      <c r="B929" s="70" t="s">
        <v>633</v>
      </c>
      <c r="C929" s="72"/>
      <c r="D929" s="73"/>
      <c r="E929" s="70">
        <v>37.1</v>
      </c>
      <c r="F929" s="72">
        <v>31624.54</v>
      </c>
      <c r="G929" s="74">
        <f>G928+F929</f>
        <v>4330680.536000004</v>
      </c>
      <c r="H929" s="75" t="s">
        <v>13</v>
      </c>
      <c r="I929" s="501" t="s">
        <v>127</v>
      </c>
      <c r="J929" s="519" t="s">
        <v>738</v>
      </c>
      <c r="K929" s="501" t="s">
        <v>127</v>
      </c>
      <c r="L929" s="15"/>
      <c r="M929" t="str">
        <f t="shared" si="108"/>
        <v/>
      </c>
      <c r="N929" t="str">
        <f t="shared" si="105"/>
        <v/>
      </c>
    </row>
    <row r="930" spans="1:14" ht="15" thickBot="1">
      <c r="A930" s="281">
        <v>46278</v>
      </c>
      <c r="B930" s="363" t="s">
        <v>309</v>
      </c>
      <c r="C930" s="246">
        <v>0.64</v>
      </c>
      <c r="D930" s="244">
        <v>543.95000000000005</v>
      </c>
      <c r="E930" s="150"/>
      <c r="F930" s="150"/>
      <c r="G930" s="153">
        <f>G929-D930</f>
        <v>4330136.5860000039</v>
      </c>
      <c r="H930" s="489" t="s">
        <v>25</v>
      </c>
      <c r="I930" s="412" t="s">
        <v>116</v>
      </c>
      <c r="J930" s="412" t="s">
        <v>117</v>
      </c>
      <c r="K930" s="14"/>
      <c r="L930" s="412" t="s">
        <v>437</v>
      </c>
      <c r="M930" t="str">
        <f t="shared" si="108"/>
        <v/>
      </c>
      <c r="N930" t="str">
        <f t="shared" si="105"/>
        <v/>
      </c>
    </row>
    <row r="931" spans="1:14" ht="15" thickBot="1">
      <c r="A931" s="281">
        <v>46278</v>
      </c>
      <c r="B931" s="363" t="s">
        <v>309</v>
      </c>
      <c r="C931" s="246">
        <v>0.56000000000000005</v>
      </c>
      <c r="D931" s="244">
        <v>474.36</v>
      </c>
      <c r="E931" s="150"/>
      <c r="F931" s="150"/>
      <c r="G931" s="153">
        <f>G930-D931</f>
        <v>4329662.2260000035</v>
      </c>
      <c r="H931" s="489" t="s">
        <v>25</v>
      </c>
      <c r="I931" s="412" t="s">
        <v>116</v>
      </c>
      <c r="J931" s="412" t="s">
        <v>117</v>
      </c>
      <c r="K931" s="14"/>
      <c r="L931" s="412" t="s">
        <v>437</v>
      </c>
      <c r="M931" t="str">
        <f t="shared" si="108"/>
        <v/>
      </c>
      <c r="N931" t="str">
        <f t="shared" si="105"/>
        <v/>
      </c>
    </row>
    <row r="932" spans="1:14" ht="15" thickBot="1">
      <c r="A932" s="69">
        <v>46279</v>
      </c>
      <c r="B932" s="70" t="s">
        <v>623</v>
      </c>
      <c r="C932" s="72"/>
      <c r="D932" s="73"/>
      <c r="E932" s="70">
        <v>6.75</v>
      </c>
      <c r="F932" s="72">
        <v>5749.92</v>
      </c>
      <c r="G932" s="74">
        <f>G931+F932</f>
        <v>4335412.1460000034</v>
      </c>
      <c r="H932" s="75" t="s">
        <v>13</v>
      </c>
      <c r="I932" s="501" t="s">
        <v>127</v>
      </c>
      <c r="J932" s="519" t="s">
        <v>738</v>
      </c>
      <c r="K932" s="501" t="s">
        <v>127</v>
      </c>
      <c r="L932" s="15"/>
      <c r="M932" t="str">
        <f t="shared" si="108"/>
        <v/>
      </c>
      <c r="N932" t="str">
        <f t="shared" si="105"/>
        <v/>
      </c>
    </row>
    <row r="933" spans="1:14" ht="15" thickBot="1">
      <c r="A933" s="281">
        <v>46279</v>
      </c>
      <c r="B933" s="363" t="s">
        <v>309</v>
      </c>
      <c r="C933" s="246">
        <v>0.1</v>
      </c>
      <c r="D933" s="244">
        <v>86.24</v>
      </c>
      <c r="E933" s="150"/>
      <c r="F933" s="150"/>
      <c r="G933" s="153">
        <f>G932-D933</f>
        <v>4335325.9060000032</v>
      </c>
      <c r="H933" s="489" t="s">
        <v>25</v>
      </c>
      <c r="I933" s="412" t="s">
        <v>116</v>
      </c>
      <c r="J933" s="412" t="s">
        <v>117</v>
      </c>
      <c r="K933" s="14"/>
      <c r="L933" s="412" t="s">
        <v>437</v>
      </c>
      <c r="M933" t="str">
        <f t="shared" si="108"/>
        <v/>
      </c>
      <c r="N933" t="str">
        <f t="shared" si="105"/>
        <v/>
      </c>
    </row>
    <row r="934" spans="1:14" ht="15" thickBot="1">
      <c r="A934" s="69">
        <v>46279</v>
      </c>
      <c r="B934" s="70" t="s">
        <v>634</v>
      </c>
      <c r="C934" s="72"/>
      <c r="D934" s="73"/>
      <c r="E934" s="70">
        <v>87.75</v>
      </c>
      <c r="F934" s="72">
        <v>74798.58</v>
      </c>
      <c r="G934" s="74">
        <f>G933+F934</f>
        <v>4410124.4860000033</v>
      </c>
      <c r="H934" s="75" t="s">
        <v>10</v>
      </c>
      <c r="I934" s="501" t="s">
        <v>127</v>
      </c>
      <c r="J934" s="519" t="s">
        <v>740</v>
      </c>
      <c r="K934" s="501" t="s">
        <v>127</v>
      </c>
      <c r="L934" s="15"/>
      <c r="M934" t="str">
        <f t="shared" si="108"/>
        <v/>
      </c>
      <c r="N934" t="str">
        <f t="shared" si="105"/>
        <v/>
      </c>
    </row>
    <row r="935" spans="1:14" ht="15" thickBot="1">
      <c r="A935" s="69">
        <v>46280</v>
      </c>
      <c r="B935" s="70" t="s">
        <v>635</v>
      </c>
      <c r="C935" s="72"/>
      <c r="D935" s="73"/>
      <c r="E935" s="70">
        <v>58.83</v>
      </c>
      <c r="F935" s="72">
        <v>50147.66</v>
      </c>
      <c r="G935" s="74">
        <f t="shared" ref="G935:G937" si="111">G934+F935</f>
        <v>4460272.1460000034</v>
      </c>
      <c r="H935" s="75" t="s">
        <v>13</v>
      </c>
      <c r="I935" s="501" t="s">
        <v>127</v>
      </c>
      <c r="J935" s="519" t="s">
        <v>738</v>
      </c>
      <c r="K935" s="501" t="s">
        <v>127</v>
      </c>
      <c r="L935" s="15"/>
      <c r="M935" t="str">
        <f t="shared" si="108"/>
        <v/>
      </c>
      <c r="N935" t="str">
        <f t="shared" si="105"/>
        <v/>
      </c>
    </row>
    <row r="936" spans="1:14" ht="15" thickBot="1">
      <c r="A936" s="69">
        <v>46280</v>
      </c>
      <c r="B936" s="70" t="s">
        <v>631</v>
      </c>
      <c r="C936" s="72"/>
      <c r="D936" s="73"/>
      <c r="E936" s="70">
        <v>44.01</v>
      </c>
      <c r="F936" s="72">
        <v>37511.360000000001</v>
      </c>
      <c r="G936" s="74">
        <f t="shared" si="111"/>
        <v>4497783.5060000038</v>
      </c>
      <c r="H936" s="75" t="s">
        <v>13</v>
      </c>
      <c r="I936" s="501" t="s">
        <v>127</v>
      </c>
      <c r="J936" s="519" t="s">
        <v>738</v>
      </c>
      <c r="K936" s="501" t="s">
        <v>127</v>
      </c>
      <c r="L936" s="15"/>
      <c r="M936" t="str">
        <f t="shared" si="108"/>
        <v/>
      </c>
      <c r="N936" t="str">
        <f t="shared" si="105"/>
        <v/>
      </c>
    </row>
    <row r="937" spans="1:14" ht="15" thickBot="1">
      <c r="A937" s="69">
        <v>46280</v>
      </c>
      <c r="B937" s="70" t="s">
        <v>636</v>
      </c>
      <c r="C937" s="72"/>
      <c r="D937" s="73"/>
      <c r="E937" s="70">
        <v>9.6199999999999992</v>
      </c>
      <c r="F937" s="72">
        <v>8199.92</v>
      </c>
      <c r="G937" s="74">
        <f t="shared" si="111"/>
        <v>4505983.4260000037</v>
      </c>
      <c r="H937" s="75" t="s">
        <v>13</v>
      </c>
      <c r="I937" s="501" t="s">
        <v>127</v>
      </c>
      <c r="J937" s="519" t="s">
        <v>738</v>
      </c>
      <c r="K937" s="501" t="s">
        <v>127</v>
      </c>
      <c r="L937" s="15"/>
      <c r="M937" t="str">
        <f t="shared" si="108"/>
        <v/>
      </c>
      <c r="N937" t="str">
        <f t="shared" si="105"/>
        <v/>
      </c>
    </row>
    <row r="938" spans="1:14" ht="15" thickBot="1">
      <c r="A938" s="281">
        <v>46280</v>
      </c>
      <c r="B938" s="363" t="s">
        <v>309</v>
      </c>
      <c r="C938" s="246">
        <v>0.88</v>
      </c>
      <c r="D938" s="244">
        <v>752.21</v>
      </c>
      <c r="E938" s="150"/>
      <c r="F938" s="150"/>
      <c r="G938" s="153">
        <f>G937-D938</f>
        <v>4505231.2160000037</v>
      </c>
      <c r="H938" s="489" t="s">
        <v>25</v>
      </c>
      <c r="I938" s="412" t="s">
        <v>116</v>
      </c>
      <c r="J938" s="412" t="s">
        <v>117</v>
      </c>
      <c r="K938" s="14"/>
      <c r="L938" s="412" t="s">
        <v>437</v>
      </c>
      <c r="M938" t="str">
        <f t="shared" si="108"/>
        <v/>
      </c>
      <c r="N938" t="str">
        <f t="shared" si="105"/>
        <v/>
      </c>
    </row>
    <row r="939" spans="1:14" ht="15" thickBot="1">
      <c r="A939" s="281">
        <v>46280</v>
      </c>
      <c r="B939" s="363" t="s">
        <v>309</v>
      </c>
      <c r="C939" s="246">
        <v>0.66</v>
      </c>
      <c r="D939" s="244">
        <v>562.66999999999996</v>
      </c>
      <c r="E939" s="150"/>
      <c r="F939" s="150"/>
      <c r="G939" s="153">
        <f t="shared" ref="G939:G941" si="112">G938-D939</f>
        <v>4504668.5460000038</v>
      </c>
      <c r="H939" s="489" t="s">
        <v>25</v>
      </c>
      <c r="I939" s="412" t="s">
        <v>116</v>
      </c>
      <c r="J939" s="412" t="s">
        <v>117</v>
      </c>
      <c r="K939" s="14"/>
      <c r="L939" s="412" t="s">
        <v>437</v>
      </c>
      <c r="M939" t="str">
        <f t="shared" si="108"/>
        <v/>
      </c>
      <c r="N939" t="str">
        <f t="shared" si="105"/>
        <v/>
      </c>
    </row>
    <row r="940" spans="1:14" ht="15" thickBot="1">
      <c r="A940" s="281">
        <v>46280</v>
      </c>
      <c r="B940" s="363" t="s">
        <v>309</v>
      </c>
      <c r="C940" s="246">
        <v>0.14000000000000001</v>
      </c>
      <c r="D940" s="244">
        <v>122.99</v>
      </c>
      <c r="E940" s="150"/>
      <c r="F940" s="150"/>
      <c r="G940" s="153">
        <f t="shared" si="112"/>
        <v>4504545.5560000036</v>
      </c>
      <c r="H940" s="489" t="s">
        <v>25</v>
      </c>
      <c r="I940" s="412" t="s">
        <v>116</v>
      </c>
      <c r="J940" s="412" t="s">
        <v>117</v>
      </c>
      <c r="K940" s="14"/>
      <c r="L940" s="412" t="s">
        <v>437</v>
      </c>
      <c r="M940" t="str">
        <f t="shared" si="108"/>
        <v/>
      </c>
      <c r="N940" t="str">
        <f t="shared" si="105"/>
        <v/>
      </c>
    </row>
    <row r="941" spans="1:14" ht="15" thickBot="1">
      <c r="A941" s="281">
        <v>46280</v>
      </c>
      <c r="B941" s="490" t="s">
        <v>637</v>
      </c>
      <c r="C941" s="246">
        <v>14.02</v>
      </c>
      <c r="D941" s="244">
        <v>11950.95</v>
      </c>
      <c r="E941" s="150"/>
      <c r="F941" s="150"/>
      <c r="G941" s="153">
        <f t="shared" si="112"/>
        <v>4492594.6060000034</v>
      </c>
      <c r="H941" s="489" t="s">
        <v>13</v>
      </c>
      <c r="I941" s="500" t="s">
        <v>116</v>
      </c>
      <c r="J941" s="501" t="s">
        <v>702</v>
      </c>
      <c r="L941" s="501" t="s">
        <v>127</v>
      </c>
      <c r="M941" t="str">
        <f t="shared" si="108"/>
        <v/>
      </c>
      <c r="N941" t="str">
        <f t="shared" si="105"/>
        <v/>
      </c>
    </row>
    <row r="942" spans="1:14" ht="15" thickBot="1">
      <c r="A942" s="69">
        <v>46280</v>
      </c>
      <c r="B942" s="70" t="s">
        <v>638</v>
      </c>
      <c r="C942" s="72"/>
      <c r="D942" s="73"/>
      <c r="E942" s="381">
        <v>7223.99</v>
      </c>
      <c r="F942" s="72">
        <v>6157847.6799999997</v>
      </c>
      <c r="G942" s="74">
        <f>G941+F942</f>
        <v>10650442.286000002</v>
      </c>
      <c r="H942" s="75" t="s">
        <v>10</v>
      </c>
      <c r="I942" s="501" t="s">
        <v>127</v>
      </c>
      <c r="J942" s="519" t="s">
        <v>737</v>
      </c>
      <c r="K942" s="501" t="s">
        <v>127</v>
      </c>
      <c r="L942" s="15"/>
      <c r="M942" t="str">
        <f t="shared" si="108"/>
        <v/>
      </c>
      <c r="N942" t="str">
        <f t="shared" si="105"/>
        <v/>
      </c>
    </row>
    <row r="943" spans="1:14" ht="15" thickBot="1">
      <c r="A943" s="281">
        <v>46280</v>
      </c>
      <c r="B943" s="490" t="s">
        <v>639</v>
      </c>
      <c r="C943" s="246">
        <v>28.65</v>
      </c>
      <c r="D943" s="244">
        <v>24424</v>
      </c>
      <c r="E943" s="150"/>
      <c r="F943" s="150"/>
      <c r="G943" s="153">
        <f>G942-D943</f>
        <v>10626018.286000002</v>
      </c>
      <c r="H943" s="489" t="s">
        <v>13</v>
      </c>
      <c r="I943" s="500" t="s">
        <v>116</v>
      </c>
      <c r="J943" s="501" t="s">
        <v>269</v>
      </c>
      <c r="K943" s="14"/>
      <c r="L943" s="501" t="s">
        <v>437</v>
      </c>
      <c r="M943" t="str">
        <f t="shared" si="108"/>
        <v/>
      </c>
      <c r="N943" t="str">
        <f t="shared" si="105"/>
        <v/>
      </c>
    </row>
    <row r="944" spans="1:14" ht="15" thickBot="1">
      <c r="A944" s="281">
        <v>46280</v>
      </c>
      <c r="B944" s="491" t="s">
        <v>641</v>
      </c>
      <c r="C944" s="246">
        <v>3780.15</v>
      </c>
      <c r="D944" s="244">
        <v>3222261.73</v>
      </c>
      <c r="E944" s="150"/>
      <c r="F944" s="150"/>
      <c r="G944" s="153">
        <f>G943-D944</f>
        <v>7403756.5560000017</v>
      </c>
      <c r="H944" s="489" t="s">
        <v>10</v>
      </c>
      <c r="I944" s="500" t="s">
        <v>116</v>
      </c>
      <c r="J944" s="501" t="s">
        <v>121</v>
      </c>
      <c r="K944" s="14"/>
      <c r="L944" s="501" t="s">
        <v>437</v>
      </c>
      <c r="M944" t="str">
        <f t="shared" si="108"/>
        <v/>
      </c>
      <c r="N944" t="str">
        <f t="shared" si="105"/>
        <v/>
      </c>
    </row>
    <row r="945" spans="1:14" ht="15" thickBot="1">
      <c r="A945" s="281">
        <v>46280</v>
      </c>
      <c r="B945" s="490" t="s">
        <v>31</v>
      </c>
      <c r="C945" s="246">
        <v>11.34</v>
      </c>
      <c r="D945" s="244">
        <v>9666.7800000000007</v>
      </c>
      <c r="E945" s="150"/>
      <c r="F945" s="151"/>
      <c r="G945" s="153">
        <f>G944-D945</f>
        <v>7394089.7760000015</v>
      </c>
      <c r="H945" s="489" t="s">
        <v>25</v>
      </c>
      <c r="I945" s="412" t="s">
        <v>116</v>
      </c>
      <c r="J945" s="412" t="s">
        <v>117</v>
      </c>
      <c r="K945" s="14"/>
      <c r="L945" s="412" t="s">
        <v>437</v>
      </c>
      <c r="M945" t="str">
        <f t="shared" si="108"/>
        <v/>
      </c>
      <c r="N945" t="str">
        <f t="shared" si="105"/>
        <v/>
      </c>
    </row>
    <row r="946" spans="1:14" ht="15" thickBot="1">
      <c r="A946" s="69">
        <v>46281</v>
      </c>
      <c r="B946" s="70" t="s">
        <v>630</v>
      </c>
      <c r="C946" s="72"/>
      <c r="D946" s="73"/>
      <c r="E946" s="70">
        <v>48.35</v>
      </c>
      <c r="F946" s="72">
        <v>41210.42</v>
      </c>
      <c r="G946" s="74">
        <f>G945+F946</f>
        <v>7435300.1960000014</v>
      </c>
      <c r="H946" s="75" t="s">
        <v>13</v>
      </c>
      <c r="I946" s="501" t="s">
        <v>127</v>
      </c>
      <c r="J946" s="519" t="s">
        <v>738</v>
      </c>
      <c r="K946" s="501" t="s">
        <v>127</v>
      </c>
      <c r="L946" s="15"/>
      <c r="M946" t="str">
        <f t="shared" si="108"/>
        <v/>
      </c>
      <c r="N946" t="str">
        <f t="shared" si="105"/>
        <v/>
      </c>
    </row>
    <row r="947" spans="1:14" ht="15" thickBot="1">
      <c r="A947" s="69">
        <v>46281</v>
      </c>
      <c r="B947" s="70" t="s">
        <v>642</v>
      </c>
      <c r="C947" s="72"/>
      <c r="D947" s="73"/>
      <c r="E947" s="70">
        <v>23.61</v>
      </c>
      <c r="F947" s="72">
        <v>20124.71</v>
      </c>
      <c r="G947" s="74">
        <f t="shared" ref="G947:G950" si="113">G946+F947</f>
        <v>7455424.9060000014</v>
      </c>
      <c r="H947" s="75" t="s">
        <v>13</v>
      </c>
      <c r="I947" s="501" t="s">
        <v>127</v>
      </c>
      <c r="J947" s="519" t="s">
        <v>738</v>
      </c>
      <c r="K947" s="501" t="s">
        <v>127</v>
      </c>
      <c r="L947" s="15"/>
      <c r="M947" t="str">
        <f t="shared" si="108"/>
        <v/>
      </c>
      <c r="N947" t="str">
        <f t="shared" si="105"/>
        <v/>
      </c>
    </row>
    <row r="948" spans="1:14" ht="15" thickBot="1">
      <c r="A948" s="69">
        <v>46281</v>
      </c>
      <c r="B948" s="70" t="s">
        <v>643</v>
      </c>
      <c r="C948" s="72"/>
      <c r="D948" s="73"/>
      <c r="E948" s="70">
        <v>4.47</v>
      </c>
      <c r="F948" s="72">
        <v>3813.15</v>
      </c>
      <c r="G948" s="74">
        <f t="shared" si="113"/>
        <v>7459238.0560000017</v>
      </c>
      <c r="H948" s="75" t="s">
        <v>13</v>
      </c>
      <c r="I948" s="501" t="s">
        <v>127</v>
      </c>
      <c r="J948" s="519" t="s">
        <v>743</v>
      </c>
      <c r="K948" s="501" t="s">
        <v>127</v>
      </c>
      <c r="L948" s="15"/>
      <c r="M948" t="str">
        <f t="shared" si="108"/>
        <v/>
      </c>
      <c r="N948" t="str">
        <f t="shared" si="105"/>
        <v/>
      </c>
    </row>
    <row r="949" spans="1:14" ht="15" thickBot="1">
      <c r="A949" s="69">
        <v>46281</v>
      </c>
      <c r="B949" s="70" t="s">
        <v>644</v>
      </c>
      <c r="C949" s="72"/>
      <c r="D949" s="73"/>
      <c r="E949" s="70">
        <v>3.37</v>
      </c>
      <c r="F949" s="72">
        <v>2874.96</v>
      </c>
      <c r="G949" s="74">
        <f t="shared" si="113"/>
        <v>7462113.0160000017</v>
      </c>
      <c r="H949" s="75" t="s">
        <v>13</v>
      </c>
      <c r="I949" s="501" t="s">
        <v>127</v>
      </c>
      <c r="J949" s="519" t="s">
        <v>738</v>
      </c>
      <c r="K949" s="501" t="s">
        <v>127</v>
      </c>
      <c r="L949" s="15"/>
      <c r="M949" t="str">
        <f t="shared" si="108"/>
        <v/>
      </c>
      <c r="N949" t="str">
        <f t="shared" si="105"/>
        <v/>
      </c>
    </row>
    <row r="950" spans="1:14" ht="15" thickBot="1">
      <c r="A950" s="69">
        <v>46281</v>
      </c>
      <c r="B950" s="70" t="s">
        <v>645</v>
      </c>
      <c r="C950" s="72"/>
      <c r="D950" s="73"/>
      <c r="E950" s="70">
        <v>1.8</v>
      </c>
      <c r="F950" s="72">
        <v>1535.17</v>
      </c>
      <c r="G950" s="74">
        <f t="shared" si="113"/>
        <v>7463648.1860000016</v>
      </c>
      <c r="H950" s="75" t="s">
        <v>13</v>
      </c>
      <c r="I950" s="501" t="s">
        <v>127</v>
      </c>
      <c r="J950" s="519" t="s">
        <v>743</v>
      </c>
      <c r="K950" s="501" t="s">
        <v>127</v>
      </c>
      <c r="L950" s="15"/>
      <c r="M950" t="str">
        <f t="shared" si="108"/>
        <v/>
      </c>
      <c r="N950" t="str">
        <f t="shared" si="105"/>
        <v/>
      </c>
    </row>
    <row r="951" spans="1:14" ht="15" thickBot="1">
      <c r="A951" s="281">
        <v>46281</v>
      </c>
      <c r="B951" s="363" t="s">
        <v>309</v>
      </c>
      <c r="C951" s="246">
        <v>0.73</v>
      </c>
      <c r="D951" s="244">
        <v>618.15</v>
      </c>
      <c r="E951" s="150"/>
      <c r="F951" s="150"/>
      <c r="G951" s="153">
        <f>G950-D951</f>
        <v>7463030.0360000012</v>
      </c>
      <c r="H951" s="489" t="s">
        <v>25</v>
      </c>
      <c r="I951" s="412" t="s">
        <v>116</v>
      </c>
      <c r="J951" s="412" t="s">
        <v>117</v>
      </c>
      <c r="K951" s="14"/>
      <c r="L951" s="412" t="s">
        <v>437</v>
      </c>
      <c r="M951" t="str">
        <f t="shared" si="108"/>
        <v/>
      </c>
      <c r="N951" t="str">
        <f t="shared" si="105"/>
        <v/>
      </c>
    </row>
    <row r="952" spans="1:14" ht="15" thickBot="1">
      <c r="A952" s="281">
        <v>46281</v>
      </c>
      <c r="B952" s="363" t="s">
        <v>309</v>
      </c>
      <c r="C952" s="246">
        <v>0.35</v>
      </c>
      <c r="D952" s="244">
        <v>301.87</v>
      </c>
      <c r="E952" s="150"/>
      <c r="F952" s="150"/>
      <c r="G952" s="153">
        <f t="shared" ref="G952:G964" si="114">G951-D952</f>
        <v>7462728.1660000011</v>
      </c>
      <c r="H952" s="489" t="s">
        <v>25</v>
      </c>
      <c r="I952" s="412" t="s">
        <v>116</v>
      </c>
      <c r="J952" s="412" t="s">
        <v>117</v>
      </c>
      <c r="K952" s="14"/>
      <c r="L952" s="412" t="s">
        <v>437</v>
      </c>
      <c r="M952" t="str">
        <f t="shared" si="108"/>
        <v/>
      </c>
      <c r="N952" t="str">
        <f t="shared" si="105"/>
        <v/>
      </c>
    </row>
    <row r="953" spans="1:14" ht="15" thickBot="1">
      <c r="A953" s="281">
        <v>46281</v>
      </c>
      <c r="B953" s="363" t="s">
        <v>309</v>
      </c>
      <c r="C953" s="246">
        <v>7.0000000000000007E-2</v>
      </c>
      <c r="D953" s="244">
        <v>57.19</v>
      </c>
      <c r="E953" s="150"/>
      <c r="F953" s="150"/>
      <c r="G953" s="153">
        <f t="shared" si="114"/>
        <v>7462670.9760000007</v>
      </c>
      <c r="H953" s="489" t="s">
        <v>25</v>
      </c>
      <c r="I953" s="412" t="s">
        <v>116</v>
      </c>
      <c r="J953" s="412" t="s">
        <v>117</v>
      </c>
      <c r="K953" s="14"/>
      <c r="L953" s="412" t="s">
        <v>437</v>
      </c>
      <c r="M953" t="str">
        <f t="shared" si="108"/>
        <v/>
      </c>
      <c r="N953" t="str">
        <f t="shared" si="105"/>
        <v/>
      </c>
    </row>
    <row r="954" spans="1:14" ht="15" thickBot="1">
      <c r="A954" s="281">
        <v>46281</v>
      </c>
      <c r="B954" s="363" t="s">
        <v>309</v>
      </c>
      <c r="C954" s="246">
        <v>0.05</v>
      </c>
      <c r="D954" s="244">
        <v>43.12</v>
      </c>
      <c r="E954" s="150"/>
      <c r="F954" s="150"/>
      <c r="G954" s="153">
        <f t="shared" si="114"/>
        <v>7462627.8560000006</v>
      </c>
      <c r="H954" s="489" t="s">
        <v>25</v>
      </c>
      <c r="I954" s="412" t="s">
        <v>116</v>
      </c>
      <c r="J954" s="412" t="s">
        <v>117</v>
      </c>
      <c r="K954" s="14"/>
      <c r="L954" s="412" t="s">
        <v>437</v>
      </c>
      <c r="M954" t="str">
        <f t="shared" si="108"/>
        <v/>
      </c>
      <c r="N954" t="str">
        <f t="shared" si="105"/>
        <v/>
      </c>
    </row>
    <row r="955" spans="1:14" ht="15" thickBot="1">
      <c r="A955" s="281">
        <v>46281</v>
      </c>
      <c r="B955" s="363" t="s">
        <v>309</v>
      </c>
      <c r="C955" s="246">
        <v>0.03</v>
      </c>
      <c r="D955" s="244">
        <v>23.02</v>
      </c>
      <c r="E955" s="150"/>
      <c r="F955" s="150"/>
      <c r="G955" s="153">
        <f t="shared" si="114"/>
        <v>7462604.8360000011</v>
      </c>
      <c r="H955" s="489" t="s">
        <v>25</v>
      </c>
      <c r="I955" s="412" t="s">
        <v>116</v>
      </c>
      <c r="J955" s="412" t="s">
        <v>117</v>
      </c>
      <c r="K955" s="14"/>
      <c r="L955" s="412" t="s">
        <v>437</v>
      </c>
      <c r="M955" t="str">
        <f t="shared" si="108"/>
        <v/>
      </c>
      <c r="N955" t="str">
        <f t="shared" si="105"/>
        <v/>
      </c>
    </row>
    <row r="956" spans="1:14" ht="29.5" thickBot="1">
      <c r="A956" s="281">
        <v>46281</v>
      </c>
      <c r="B956" s="491" t="s">
        <v>646</v>
      </c>
      <c r="C956" s="246">
        <v>134.06</v>
      </c>
      <c r="D956" s="244">
        <v>114278.85</v>
      </c>
      <c r="E956" s="150"/>
      <c r="F956" s="150"/>
      <c r="G956" s="153">
        <f t="shared" si="114"/>
        <v>7348325.9860000014</v>
      </c>
      <c r="H956" s="489" t="s">
        <v>10</v>
      </c>
      <c r="I956" s="500" t="s">
        <v>119</v>
      </c>
      <c r="J956" s="501" t="s">
        <v>443</v>
      </c>
      <c r="K956" s="14"/>
      <c r="L956" s="501" t="s">
        <v>437</v>
      </c>
      <c r="M956" t="str">
        <f t="shared" si="108"/>
        <v/>
      </c>
      <c r="N956" t="str">
        <f t="shared" si="105"/>
        <v/>
      </c>
    </row>
    <row r="957" spans="1:14" ht="15" thickBot="1">
      <c r="A957" s="281">
        <v>46281</v>
      </c>
      <c r="B957" s="490" t="s">
        <v>31</v>
      </c>
      <c r="C957" s="246">
        <v>0.4</v>
      </c>
      <c r="D957" s="244">
        <v>342.83</v>
      </c>
      <c r="E957" s="150"/>
      <c r="F957" s="150"/>
      <c r="G957" s="153">
        <f t="shared" si="114"/>
        <v>7347983.1560000014</v>
      </c>
      <c r="H957" s="489" t="s">
        <v>25</v>
      </c>
      <c r="I957" s="412" t="s">
        <v>116</v>
      </c>
      <c r="J957" s="412" t="s">
        <v>117</v>
      </c>
      <c r="K957" s="14"/>
      <c r="L957" s="412" t="s">
        <v>437</v>
      </c>
      <c r="M957" t="str">
        <f t="shared" si="108"/>
        <v/>
      </c>
      <c r="N957" t="str">
        <f t="shared" si="105"/>
        <v/>
      </c>
    </row>
    <row r="958" spans="1:14" ht="15" thickBot="1">
      <c r="A958" s="281">
        <v>46281</v>
      </c>
      <c r="B958" s="490" t="s">
        <v>647</v>
      </c>
      <c r="C958" s="246">
        <v>14.9</v>
      </c>
      <c r="D958" s="244">
        <v>12697.65</v>
      </c>
      <c r="E958" s="150"/>
      <c r="F958" s="150"/>
      <c r="G958" s="153">
        <f t="shared" si="114"/>
        <v>7335285.506000001</v>
      </c>
      <c r="H958" s="489" t="s">
        <v>10</v>
      </c>
      <c r="I958" s="522" t="s">
        <v>119</v>
      </c>
      <c r="J958" s="501" t="s">
        <v>443</v>
      </c>
      <c r="K958" s="14"/>
      <c r="L958" s="15"/>
      <c r="M958" t="str">
        <f t="shared" si="108"/>
        <v/>
      </c>
      <c r="N958" t="str">
        <f t="shared" si="105"/>
        <v/>
      </c>
    </row>
    <row r="959" spans="1:14" ht="15" thickBot="1">
      <c r="A959" s="281">
        <v>46281</v>
      </c>
      <c r="B959" s="490" t="s">
        <v>31</v>
      </c>
      <c r="C959" s="246">
        <v>0.04</v>
      </c>
      <c r="D959" s="244">
        <v>38.090000000000003</v>
      </c>
      <c r="E959" s="150"/>
      <c r="F959" s="150"/>
      <c r="G959" s="153">
        <f t="shared" si="114"/>
        <v>7335247.4160000011</v>
      </c>
      <c r="H959" s="489" t="s">
        <v>25</v>
      </c>
      <c r="I959" s="412" t="s">
        <v>116</v>
      </c>
      <c r="J959" s="412" t="s">
        <v>117</v>
      </c>
      <c r="K959" s="14"/>
      <c r="L959" s="412" t="s">
        <v>437</v>
      </c>
      <c r="M959" t="str">
        <f t="shared" si="108"/>
        <v/>
      </c>
      <c r="N959" t="str">
        <f t="shared" si="105"/>
        <v/>
      </c>
    </row>
    <row r="960" spans="1:14" ht="15" thickBot="1">
      <c r="A960" s="281">
        <v>46281</v>
      </c>
      <c r="B960" s="491" t="s">
        <v>648</v>
      </c>
      <c r="C960" s="246">
        <v>57.6</v>
      </c>
      <c r="D960" s="244">
        <v>49097.58</v>
      </c>
      <c r="E960" s="150"/>
      <c r="F960" s="150"/>
      <c r="G960" s="153">
        <f t="shared" si="114"/>
        <v>7286149.8360000011</v>
      </c>
      <c r="H960" s="489" t="s">
        <v>10</v>
      </c>
      <c r="I960" s="522" t="s">
        <v>119</v>
      </c>
      <c r="J960" s="501" t="s">
        <v>443</v>
      </c>
      <c r="K960" s="14"/>
      <c r="L960" s="412" t="s">
        <v>437</v>
      </c>
      <c r="M960" t="str">
        <f t="shared" si="108"/>
        <v/>
      </c>
      <c r="N960" t="str">
        <f t="shared" si="105"/>
        <v/>
      </c>
    </row>
    <row r="961" spans="1:14" ht="15" thickBot="1">
      <c r="A961" s="281">
        <v>46250</v>
      </c>
      <c r="B961" s="490" t="s">
        <v>31</v>
      </c>
      <c r="C961" s="246">
        <v>0.17</v>
      </c>
      <c r="D961" s="244">
        <v>147.29</v>
      </c>
      <c r="E961" s="150"/>
      <c r="F961" s="150"/>
      <c r="G961" s="153">
        <f t="shared" si="114"/>
        <v>7286002.546000001</v>
      </c>
      <c r="H961" s="489" t="s">
        <v>25</v>
      </c>
      <c r="I961" s="412" t="s">
        <v>116</v>
      </c>
      <c r="J961" s="412" t="s">
        <v>117</v>
      </c>
      <c r="K961" s="14"/>
      <c r="L961" s="412" t="s">
        <v>437</v>
      </c>
      <c r="M961" t="str">
        <f t="shared" si="108"/>
        <v/>
      </c>
      <c r="N961" t="str">
        <f t="shared" si="105"/>
        <v/>
      </c>
    </row>
    <row r="962" spans="1:14" ht="15" thickBot="1">
      <c r="A962" s="281">
        <v>46250</v>
      </c>
      <c r="B962" s="490" t="s">
        <v>649</v>
      </c>
      <c r="C962" s="246">
        <v>19.809999999999999</v>
      </c>
      <c r="D962" s="244">
        <v>16884.63</v>
      </c>
      <c r="E962" s="150"/>
      <c r="F962" s="150"/>
      <c r="G962" s="153">
        <f t="shared" si="114"/>
        <v>7269117.9160000011</v>
      </c>
      <c r="H962" s="489" t="s">
        <v>10</v>
      </c>
      <c r="I962" s="412" t="s">
        <v>116</v>
      </c>
      <c r="J962" s="519" t="s">
        <v>269</v>
      </c>
      <c r="K962" s="14"/>
      <c r="L962" s="412" t="s">
        <v>437</v>
      </c>
      <c r="M962" t="str">
        <f t="shared" si="108"/>
        <v/>
      </c>
      <c r="N962" t="str">
        <f t="shared" si="105"/>
        <v/>
      </c>
    </row>
    <row r="963" spans="1:14" ht="29.5" thickBot="1">
      <c r="A963" s="281">
        <v>46250</v>
      </c>
      <c r="B963" s="491" t="s">
        <v>650</v>
      </c>
      <c r="C963" s="246">
        <v>59.55</v>
      </c>
      <c r="D963" s="244">
        <v>50790.6</v>
      </c>
      <c r="E963" s="150"/>
      <c r="F963" s="150"/>
      <c r="G963" s="153">
        <f t="shared" si="114"/>
        <v>7218327.3160000015</v>
      </c>
      <c r="H963" s="489" t="s">
        <v>10</v>
      </c>
      <c r="I963" s="412" t="s">
        <v>116</v>
      </c>
      <c r="J963" s="519" t="s">
        <v>269</v>
      </c>
      <c r="K963" s="14"/>
      <c r="L963" s="412" t="s">
        <v>437</v>
      </c>
      <c r="M963" t="str">
        <f t="shared" si="108"/>
        <v/>
      </c>
      <c r="N963" t="str">
        <f t="shared" si="105"/>
        <v/>
      </c>
    </row>
    <row r="964" spans="1:14" ht="15" thickBot="1">
      <c r="A964" s="281">
        <v>46250</v>
      </c>
      <c r="B964" s="492" t="s">
        <v>651</v>
      </c>
      <c r="C964" s="246">
        <v>46.43</v>
      </c>
      <c r="D964" s="244">
        <v>45341.15</v>
      </c>
      <c r="E964" s="150"/>
      <c r="F964" s="150"/>
      <c r="G964" s="153">
        <f t="shared" si="114"/>
        <v>7172986.1660000011</v>
      </c>
      <c r="H964" s="493" t="s">
        <v>10</v>
      </c>
      <c r="I964" s="412" t="s">
        <v>116</v>
      </c>
      <c r="J964" s="519" t="s">
        <v>269</v>
      </c>
      <c r="K964" s="14"/>
      <c r="L964" s="412" t="s">
        <v>437</v>
      </c>
      <c r="M964" t="str">
        <f t="shared" si="108"/>
        <v/>
      </c>
      <c r="N964" t="str">
        <f t="shared" ref="N964:N1027" si="115">IF(C964="","",IF(C964=D964,"OJOOO",""))</f>
        <v/>
      </c>
    </row>
    <row r="965" spans="1:14" ht="15" thickBot="1">
      <c r="A965" s="281">
        <v>46250</v>
      </c>
      <c r="B965" s="492" t="s">
        <v>31</v>
      </c>
      <c r="C965" s="246">
        <v>0.14299999999999999</v>
      </c>
      <c r="D965" s="244">
        <v>136.02000000000001</v>
      </c>
      <c r="E965" s="150"/>
      <c r="F965" s="150"/>
      <c r="G965" s="153">
        <f>G964-D965</f>
        <v>7172850.1460000016</v>
      </c>
      <c r="H965" s="493" t="s">
        <v>25</v>
      </c>
      <c r="I965" s="412" t="s">
        <v>116</v>
      </c>
      <c r="J965" s="412" t="s">
        <v>117</v>
      </c>
      <c r="K965" s="14"/>
      <c r="L965" s="412" t="s">
        <v>437</v>
      </c>
      <c r="M965" t="str">
        <f t="shared" si="108"/>
        <v/>
      </c>
      <c r="N965" t="str">
        <f t="shared" si="115"/>
        <v/>
      </c>
    </row>
    <row r="966" spans="1:14" ht="15" thickBot="1">
      <c r="A966" s="69">
        <v>46250</v>
      </c>
      <c r="B966" s="70" t="s">
        <v>652</v>
      </c>
      <c r="C966" s="72"/>
      <c r="D966" s="73"/>
      <c r="E966" s="70">
        <v>907.29</v>
      </c>
      <c r="F966" s="72">
        <v>886008.19</v>
      </c>
      <c r="G966" s="74">
        <f>G965+F966</f>
        <v>8058858.3360000011</v>
      </c>
      <c r="H966" s="75" t="s">
        <v>10</v>
      </c>
      <c r="I966" s="522" t="s">
        <v>127</v>
      </c>
      <c r="J966" s="519" t="s">
        <v>740</v>
      </c>
      <c r="K966" s="523" t="s">
        <v>127</v>
      </c>
      <c r="L966" s="15"/>
      <c r="M966" t="str">
        <f t="shared" si="108"/>
        <v/>
      </c>
      <c r="N966" t="str">
        <f t="shared" si="115"/>
        <v/>
      </c>
    </row>
    <row r="967" spans="1:14" ht="29.5" thickBot="1">
      <c r="A967" s="281">
        <v>46250</v>
      </c>
      <c r="B967" s="494" t="s">
        <v>653</v>
      </c>
      <c r="C967" s="246">
        <v>110.07</v>
      </c>
      <c r="D967" s="244">
        <v>107489.8</v>
      </c>
      <c r="E967" s="150"/>
      <c r="F967" s="150"/>
      <c r="G967" s="153">
        <f>G966-D967</f>
        <v>7951368.5360000012</v>
      </c>
      <c r="H967" s="493" t="s">
        <v>10</v>
      </c>
      <c r="I967" s="412" t="s">
        <v>116</v>
      </c>
      <c r="J967" s="412" t="s">
        <v>117</v>
      </c>
      <c r="K967" s="14"/>
      <c r="L967" s="412" t="s">
        <v>437</v>
      </c>
      <c r="M967" t="str">
        <f t="shared" si="108"/>
        <v/>
      </c>
      <c r="N967" t="str">
        <f t="shared" si="115"/>
        <v/>
      </c>
    </row>
    <row r="968" spans="1:14" ht="15" thickBot="1">
      <c r="A968" s="281">
        <v>46250</v>
      </c>
      <c r="B968" s="492" t="s">
        <v>31</v>
      </c>
      <c r="C968" s="246">
        <v>0.33</v>
      </c>
      <c r="D968" s="244">
        <v>322.45999999999998</v>
      </c>
      <c r="E968" s="150"/>
      <c r="F968" s="150"/>
      <c r="G968" s="153">
        <f>G967-D968</f>
        <v>7951046.0760000013</v>
      </c>
      <c r="H968" s="493" t="s">
        <v>25</v>
      </c>
      <c r="I968" s="412" t="s">
        <v>116</v>
      </c>
      <c r="J968" s="412" t="s">
        <v>117</v>
      </c>
      <c r="K968" s="14"/>
      <c r="L968" s="412" t="s">
        <v>437</v>
      </c>
      <c r="M968" t="str">
        <f t="shared" si="108"/>
        <v/>
      </c>
      <c r="N968" t="str">
        <f t="shared" si="115"/>
        <v/>
      </c>
    </row>
    <row r="969" spans="1:14" ht="15" thickBot="1">
      <c r="A969" s="69">
        <v>46250</v>
      </c>
      <c r="B969" s="70" t="s">
        <v>655</v>
      </c>
      <c r="C969" s="72"/>
      <c r="D969" s="73"/>
      <c r="E969" s="70">
        <v>127.58</v>
      </c>
      <c r="F969" s="72">
        <v>124590.55</v>
      </c>
      <c r="G969" s="74">
        <f>G968+F969</f>
        <v>8075636.6260000011</v>
      </c>
      <c r="H969" s="75" t="s">
        <v>10</v>
      </c>
      <c r="I969" s="522" t="s">
        <v>127</v>
      </c>
      <c r="J969" s="519" t="s">
        <v>740</v>
      </c>
      <c r="K969" s="523" t="s">
        <v>127</v>
      </c>
      <c r="L969" s="15"/>
      <c r="M969" t="str">
        <f t="shared" si="108"/>
        <v/>
      </c>
      <c r="N969" t="str">
        <f t="shared" si="115"/>
        <v/>
      </c>
    </row>
    <row r="970" spans="1:14" ht="15" thickBot="1">
      <c r="A970" s="69">
        <v>46282</v>
      </c>
      <c r="B970" s="70" t="s">
        <v>633</v>
      </c>
      <c r="C970" s="72"/>
      <c r="D970" s="73"/>
      <c r="E970" s="70">
        <v>23.3</v>
      </c>
      <c r="F970" s="72">
        <v>22754.32</v>
      </c>
      <c r="G970" s="74">
        <f t="shared" ref="G970:G972" si="116">G969+F970</f>
        <v>8098390.9460000014</v>
      </c>
      <c r="H970" s="75" t="s">
        <v>13</v>
      </c>
      <c r="I970" s="522" t="s">
        <v>127</v>
      </c>
      <c r="J970" s="519" t="s">
        <v>738</v>
      </c>
      <c r="K970" s="523" t="s">
        <v>127</v>
      </c>
      <c r="L970" s="15"/>
      <c r="M970" t="str">
        <f t="shared" si="108"/>
        <v/>
      </c>
      <c r="N970" t="str">
        <f t="shared" si="115"/>
        <v/>
      </c>
    </row>
    <row r="971" spans="1:14" ht="15" thickBot="1">
      <c r="A971" s="69">
        <v>46282</v>
      </c>
      <c r="B971" s="70" t="s">
        <v>656</v>
      </c>
      <c r="C971" s="72"/>
      <c r="D971" s="73"/>
      <c r="E971" s="70">
        <v>20.59</v>
      </c>
      <c r="F971" s="72">
        <v>20110.37</v>
      </c>
      <c r="G971" s="74">
        <f t="shared" si="116"/>
        <v>8118501.3160000015</v>
      </c>
      <c r="H971" s="75" t="s">
        <v>13</v>
      </c>
      <c r="I971" s="522" t="s">
        <v>127</v>
      </c>
      <c r="J971" s="519" t="s">
        <v>738</v>
      </c>
      <c r="K971" s="523" t="s">
        <v>127</v>
      </c>
      <c r="L971" s="15"/>
      <c r="M971" t="str">
        <f t="shared" si="108"/>
        <v/>
      </c>
      <c r="N971" t="str">
        <f t="shared" si="115"/>
        <v/>
      </c>
    </row>
    <row r="972" spans="1:14" ht="15" thickBot="1">
      <c r="A972" s="69">
        <v>46282</v>
      </c>
      <c r="B972" s="70" t="s">
        <v>657</v>
      </c>
      <c r="C972" s="72"/>
      <c r="D972" s="73"/>
      <c r="E972" s="70">
        <v>3.16</v>
      </c>
      <c r="F972" s="72">
        <v>3086.04</v>
      </c>
      <c r="G972" s="74">
        <f t="shared" si="116"/>
        <v>8121587.3560000015</v>
      </c>
      <c r="H972" s="75" t="s">
        <v>13</v>
      </c>
      <c r="I972" s="522" t="s">
        <v>127</v>
      </c>
      <c r="J972" s="519" t="s">
        <v>741</v>
      </c>
      <c r="K972" s="523" t="s">
        <v>127</v>
      </c>
      <c r="L972" s="15"/>
      <c r="M972" t="str">
        <f t="shared" si="108"/>
        <v/>
      </c>
      <c r="N972" t="str">
        <f t="shared" si="115"/>
        <v/>
      </c>
    </row>
    <row r="973" spans="1:14" ht="15" thickBot="1">
      <c r="A973" s="281">
        <v>46282</v>
      </c>
      <c r="B973" s="363" t="s">
        <v>309</v>
      </c>
      <c r="C973" s="246">
        <v>0.35</v>
      </c>
      <c r="D973" s="244">
        <v>341.31</v>
      </c>
      <c r="E973" s="150"/>
      <c r="F973" s="150"/>
      <c r="G973" s="153">
        <f>G972-D973</f>
        <v>8121246.046000002</v>
      </c>
      <c r="H973" s="493" t="s">
        <v>25</v>
      </c>
      <c r="I973" s="412" t="s">
        <v>116</v>
      </c>
      <c r="J973" s="412" t="s">
        <v>117</v>
      </c>
      <c r="K973" s="14"/>
      <c r="L973" s="412" t="s">
        <v>437</v>
      </c>
      <c r="M973" t="str">
        <f t="shared" si="108"/>
        <v/>
      </c>
      <c r="N973" t="str">
        <f t="shared" si="115"/>
        <v/>
      </c>
    </row>
    <row r="974" spans="1:14" ht="15" thickBot="1">
      <c r="A974" s="281">
        <v>46282</v>
      </c>
      <c r="B974" s="363" t="s">
        <v>309</v>
      </c>
      <c r="C974" s="246">
        <v>0.31</v>
      </c>
      <c r="D974" s="244">
        <v>301.64999999999998</v>
      </c>
      <c r="E974" s="150"/>
      <c r="F974" s="150"/>
      <c r="G974" s="153">
        <f t="shared" ref="G974:G980" si="117">G973-D974</f>
        <v>8120944.3960000016</v>
      </c>
      <c r="H974" s="493" t="s">
        <v>25</v>
      </c>
      <c r="I974" s="412" t="s">
        <v>116</v>
      </c>
      <c r="J974" s="412" t="s">
        <v>117</v>
      </c>
      <c r="K974" s="14"/>
      <c r="L974" s="412" t="s">
        <v>437</v>
      </c>
      <c r="M974" t="str">
        <f t="shared" si="108"/>
        <v/>
      </c>
      <c r="N974" t="str">
        <f t="shared" si="115"/>
        <v/>
      </c>
    </row>
    <row r="975" spans="1:14" ht="15" thickBot="1">
      <c r="A975" s="281">
        <v>46282</v>
      </c>
      <c r="B975" s="363" t="s">
        <v>309</v>
      </c>
      <c r="C975" s="246">
        <v>0.05</v>
      </c>
      <c r="D975" s="244">
        <v>46.29</v>
      </c>
      <c r="E975" s="150"/>
      <c r="F975" s="150"/>
      <c r="G975" s="153">
        <f t="shared" si="117"/>
        <v>8120898.1060000015</v>
      </c>
      <c r="H975" s="493" t="s">
        <v>25</v>
      </c>
      <c r="I975" s="412" t="s">
        <v>116</v>
      </c>
      <c r="J975" s="412" t="s">
        <v>117</v>
      </c>
      <c r="K975" s="14"/>
      <c r="L975" s="412" t="s">
        <v>437</v>
      </c>
      <c r="M975" t="str">
        <f t="shared" si="108"/>
        <v/>
      </c>
      <c r="N975" t="str">
        <f t="shared" si="115"/>
        <v/>
      </c>
    </row>
    <row r="976" spans="1:14" ht="29.5" thickBot="1">
      <c r="A976" s="281">
        <v>46282</v>
      </c>
      <c r="B976" s="494" t="s">
        <v>658</v>
      </c>
      <c r="C976" s="246">
        <v>1040.21</v>
      </c>
      <c r="D976" s="244">
        <v>1015815.72</v>
      </c>
      <c r="E976" s="150"/>
      <c r="F976" s="150"/>
      <c r="G976" s="153">
        <f t="shared" si="117"/>
        <v>7105082.3860000018</v>
      </c>
      <c r="H976" s="493" t="s">
        <v>10</v>
      </c>
      <c r="I976" s="412" t="s">
        <v>116</v>
      </c>
      <c r="J976" s="519" t="s">
        <v>269</v>
      </c>
      <c r="K976" s="14"/>
      <c r="L976" s="412" t="s">
        <v>437</v>
      </c>
      <c r="M976" t="str">
        <f t="shared" si="108"/>
        <v/>
      </c>
      <c r="N976" t="str">
        <f t="shared" si="115"/>
        <v/>
      </c>
    </row>
    <row r="977" spans="1:14" ht="29.5" thickBot="1">
      <c r="A977" s="281">
        <v>46282</v>
      </c>
      <c r="B977" s="494" t="s">
        <v>659</v>
      </c>
      <c r="C977" s="246">
        <v>166.43</v>
      </c>
      <c r="D977" s="244">
        <v>162530.51999999999</v>
      </c>
      <c r="E977" s="150"/>
      <c r="F977" s="150"/>
      <c r="G977" s="153">
        <f t="shared" si="117"/>
        <v>6942551.8660000023</v>
      </c>
      <c r="H977" s="493" t="s">
        <v>10</v>
      </c>
      <c r="I977" s="412" t="s">
        <v>116</v>
      </c>
      <c r="J977" s="519" t="s">
        <v>269</v>
      </c>
      <c r="K977" s="14"/>
      <c r="L977" s="412" t="s">
        <v>437</v>
      </c>
      <c r="M977" t="str">
        <f t="shared" si="108"/>
        <v/>
      </c>
      <c r="N977" t="str">
        <f t="shared" si="115"/>
        <v/>
      </c>
    </row>
    <row r="978" spans="1:14" ht="15" thickBot="1">
      <c r="A978" s="281">
        <v>46282</v>
      </c>
      <c r="B978" s="492" t="s">
        <v>660</v>
      </c>
      <c r="C978" s="246">
        <v>58.61</v>
      </c>
      <c r="D978" s="244">
        <v>57236.72</v>
      </c>
      <c r="E978" s="150"/>
      <c r="F978" s="150"/>
      <c r="G978" s="153">
        <f t="shared" si="117"/>
        <v>6885315.1460000025</v>
      </c>
      <c r="H978" s="493" t="s">
        <v>13</v>
      </c>
      <c r="I978" s="522" t="s">
        <v>119</v>
      </c>
      <c r="J978" s="519" t="s">
        <v>128</v>
      </c>
      <c r="K978" s="14"/>
      <c r="L978" s="412" t="s">
        <v>437</v>
      </c>
      <c r="M978" t="str">
        <f t="shared" si="108"/>
        <v/>
      </c>
      <c r="N978" t="str">
        <f t="shared" si="115"/>
        <v/>
      </c>
    </row>
    <row r="979" spans="1:14" ht="15" thickBot="1">
      <c r="A979" s="281">
        <v>46282</v>
      </c>
      <c r="B979" s="494" t="s">
        <v>662</v>
      </c>
      <c r="C979" s="246">
        <v>60.75</v>
      </c>
      <c r="D979" s="244">
        <v>59320.78</v>
      </c>
      <c r="E979" s="150"/>
      <c r="F979" s="150"/>
      <c r="G979" s="153">
        <f t="shared" si="117"/>
        <v>6825994.3660000023</v>
      </c>
      <c r="H979" s="493" t="s">
        <v>13</v>
      </c>
      <c r="I979" s="522" t="s">
        <v>119</v>
      </c>
      <c r="J979" s="519" t="s">
        <v>128</v>
      </c>
      <c r="K979" s="14"/>
      <c r="L979" s="412" t="s">
        <v>437</v>
      </c>
      <c r="M979" t="str">
        <f t="shared" si="108"/>
        <v/>
      </c>
      <c r="N979" t="str">
        <f t="shared" si="115"/>
        <v/>
      </c>
    </row>
    <row r="980" spans="1:14" ht="15" thickBot="1">
      <c r="A980" s="281">
        <v>46282</v>
      </c>
      <c r="B980" s="492" t="s">
        <v>661</v>
      </c>
      <c r="C980" s="246">
        <v>1.79</v>
      </c>
      <c r="D980" s="244">
        <v>1750</v>
      </c>
      <c r="E980" s="150"/>
      <c r="F980" s="150"/>
      <c r="G980" s="153">
        <f t="shared" si="117"/>
        <v>6824244.3660000023</v>
      </c>
      <c r="H980" s="493" t="s">
        <v>13</v>
      </c>
      <c r="I980" s="522" t="s">
        <v>119</v>
      </c>
      <c r="J980" s="519" t="s">
        <v>128</v>
      </c>
      <c r="K980" s="14"/>
      <c r="L980" s="412" t="s">
        <v>437</v>
      </c>
      <c r="M980" t="str">
        <f t="shared" ref="M980:M1043" si="118">IF(E980="","",IF(E980=F980,"OJOOO",""))</f>
        <v/>
      </c>
      <c r="N980" t="str">
        <f t="shared" si="115"/>
        <v/>
      </c>
    </row>
    <row r="981" spans="1:14" ht="29.5" thickBot="1">
      <c r="A981" s="69">
        <v>46282</v>
      </c>
      <c r="B981" s="378" t="s">
        <v>663</v>
      </c>
      <c r="C981" s="72"/>
      <c r="D981" s="73"/>
      <c r="E981" s="70">
        <v>117.02</v>
      </c>
      <c r="F981" s="72">
        <v>114278.85</v>
      </c>
      <c r="G981" s="74">
        <f>G980+F981</f>
        <v>6938523.2160000019</v>
      </c>
      <c r="H981" s="75" t="s">
        <v>25</v>
      </c>
      <c r="I981" s="522" t="s">
        <v>116</v>
      </c>
      <c r="J981" s="519" t="s">
        <v>25</v>
      </c>
      <c r="K981" s="523" t="s">
        <v>127</v>
      </c>
      <c r="L981" s="15"/>
      <c r="M981" t="str">
        <f t="shared" si="118"/>
        <v/>
      </c>
      <c r="N981" t="str">
        <f t="shared" si="115"/>
        <v/>
      </c>
    </row>
    <row r="982" spans="1:14" ht="15" thickBot="1">
      <c r="A982" s="69">
        <v>46282</v>
      </c>
      <c r="B982" s="70" t="s">
        <v>664</v>
      </c>
      <c r="C982" s="72"/>
      <c r="D982" s="73"/>
      <c r="E982" s="70">
        <v>0.35</v>
      </c>
      <c r="F982" s="70">
        <v>342.84</v>
      </c>
      <c r="G982" s="74">
        <f>G981+F982</f>
        <v>6938866.0560000017</v>
      </c>
      <c r="H982" s="75" t="s">
        <v>25</v>
      </c>
      <c r="I982" s="522" t="s">
        <v>116</v>
      </c>
      <c r="J982" s="519" t="s">
        <v>25</v>
      </c>
      <c r="K982" s="523" t="s">
        <v>127</v>
      </c>
      <c r="L982" s="15"/>
      <c r="M982" t="str">
        <f t="shared" si="118"/>
        <v/>
      </c>
      <c r="N982" t="str">
        <f t="shared" si="115"/>
        <v/>
      </c>
    </row>
    <row r="983" spans="1:14" ht="29.5" thickBot="1">
      <c r="A983" s="281">
        <v>46282</v>
      </c>
      <c r="B983" s="494" t="s">
        <v>665</v>
      </c>
      <c r="C983" s="246">
        <v>24.28</v>
      </c>
      <c r="D983" s="244">
        <v>23713.51</v>
      </c>
      <c r="E983" s="150"/>
      <c r="F983" s="150"/>
      <c r="G983" s="153">
        <f t="shared" ref="G983:G991" si="119">G982-D983</f>
        <v>6915152.546000002</v>
      </c>
      <c r="H983" s="493" t="s">
        <v>10</v>
      </c>
      <c r="I983" s="522" t="s">
        <v>119</v>
      </c>
      <c r="J983" s="519" t="s">
        <v>744</v>
      </c>
      <c r="K983" s="14"/>
      <c r="L983" s="412" t="s">
        <v>437</v>
      </c>
      <c r="M983" t="str">
        <f t="shared" si="118"/>
        <v/>
      </c>
      <c r="N983" t="str">
        <f t="shared" si="115"/>
        <v/>
      </c>
    </row>
    <row r="984" spans="1:14" ht="29.5" thickBot="1">
      <c r="A984" s="281">
        <v>46282</v>
      </c>
      <c r="B984" s="494" t="s">
        <v>666</v>
      </c>
      <c r="C984" s="246">
        <v>25.43</v>
      </c>
      <c r="D984" s="244">
        <v>24837.200000000001</v>
      </c>
      <c r="E984" s="150"/>
      <c r="F984" s="150"/>
      <c r="G984" s="153">
        <f t="shared" si="119"/>
        <v>6890315.3460000018</v>
      </c>
      <c r="H984" s="493" t="s">
        <v>10</v>
      </c>
      <c r="I984" s="522" t="s">
        <v>119</v>
      </c>
      <c r="J984" s="519" t="s">
        <v>744</v>
      </c>
      <c r="K984" s="14"/>
      <c r="L984" s="412" t="s">
        <v>437</v>
      </c>
      <c r="M984" t="str">
        <f t="shared" si="118"/>
        <v/>
      </c>
      <c r="N984" t="str">
        <f t="shared" si="115"/>
        <v/>
      </c>
    </row>
    <row r="985" spans="1:14" ht="15" thickBot="1">
      <c r="A985" s="281">
        <v>46282</v>
      </c>
      <c r="B985" s="492" t="s">
        <v>31</v>
      </c>
      <c r="C985" s="246">
        <v>0.08</v>
      </c>
      <c r="D985" s="244">
        <v>74.510000000000005</v>
      </c>
      <c r="E985" s="150"/>
      <c r="F985" s="150"/>
      <c r="G985" s="153">
        <f t="shared" si="119"/>
        <v>6890240.836000002</v>
      </c>
      <c r="H985" s="493" t="s">
        <v>25</v>
      </c>
      <c r="I985" s="522" t="s">
        <v>116</v>
      </c>
      <c r="J985" s="412" t="s">
        <v>117</v>
      </c>
      <c r="K985" s="14"/>
      <c r="L985" s="412" t="s">
        <v>437</v>
      </c>
      <c r="M985" t="str">
        <f t="shared" si="118"/>
        <v/>
      </c>
      <c r="N985" t="str">
        <f t="shared" si="115"/>
        <v/>
      </c>
    </row>
    <row r="986" spans="1:14" ht="29.5" thickBot="1">
      <c r="A986" s="281">
        <v>46282</v>
      </c>
      <c r="B986" s="494" t="s">
        <v>667</v>
      </c>
      <c r="C986" s="246">
        <v>23.42</v>
      </c>
      <c r="D986" s="244">
        <v>22871.31</v>
      </c>
      <c r="E986" s="150"/>
      <c r="F986" s="150"/>
      <c r="G986" s="153">
        <f t="shared" si="119"/>
        <v>6867369.5260000024</v>
      </c>
      <c r="H986" s="493" t="s">
        <v>10</v>
      </c>
      <c r="I986" s="522" t="s">
        <v>119</v>
      </c>
      <c r="J986" s="519" t="s">
        <v>744</v>
      </c>
      <c r="K986" s="14"/>
      <c r="L986" s="412" t="s">
        <v>437</v>
      </c>
      <c r="M986" t="str">
        <f t="shared" si="118"/>
        <v/>
      </c>
      <c r="N986" t="str">
        <f t="shared" si="115"/>
        <v/>
      </c>
    </row>
    <row r="987" spans="1:14" ht="15" thickBot="1">
      <c r="A987" s="281">
        <v>46282</v>
      </c>
      <c r="B987" s="492" t="s">
        <v>31</v>
      </c>
      <c r="C987" s="246">
        <v>7.0000000000000007E-2</v>
      </c>
      <c r="D987" s="244">
        <v>68.61</v>
      </c>
      <c r="E987" s="150"/>
      <c r="F987" s="150"/>
      <c r="G987" s="153">
        <f t="shared" si="119"/>
        <v>6867300.9160000021</v>
      </c>
      <c r="H987" s="493" t="s">
        <v>25</v>
      </c>
      <c r="I987" s="522" t="s">
        <v>116</v>
      </c>
      <c r="J987" s="412" t="s">
        <v>117</v>
      </c>
      <c r="K987" s="14"/>
      <c r="L987" s="412" t="s">
        <v>437</v>
      </c>
      <c r="M987" t="str">
        <f t="shared" si="118"/>
        <v/>
      </c>
      <c r="N987" t="str">
        <f t="shared" si="115"/>
        <v/>
      </c>
    </row>
    <row r="988" spans="1:14" ht="29.5" thickBot="1">
      <c r="A988" s="281">
        <v>46282</v>
      </c>
      <c r="B988" s="494" t="s">
        <v>668</v>
      </c>
      <c r="C988" s="246">
        <v>23.56</v>
      </c>
      <c r="D988" s="244">
        <v>23011</v>
      </c>
      <c r="E988" s="150"/>
      <c r="F988" s="150"/>
      <c r="G988" s="153">
        <f t="shared" si="119"/>
        <v>6844289.9160000021</v>
      </c>
      <c r="H988" s="493" t="s">
        <v>10</v>
      </c>
      <c r="I988" s="522" t="s">
        <v>119</v>
      </c>
      <c r="J988" s="519" t="s">
        <v>744</v>
      </c>
      <c r="K988" s="14"/>
      <c r="L988" s="412" t="s">
        <v>437</v>
      </c>
      <c r="M988" t="str">
        <f t="shared" si="118"/>
        <v/>
      </c>
      <c r="N988" t="str">
        <f t="shared" si="115"/>
        <v/>
      </c>
    </row>
    <row r="989" spans="1:14" ht="15" thickBot="1">
      <c r="A989" s="281">
        <v>46282</v>
      </c>
      <c r="B989" s="492" t="s">
        <v>31</v>
      </c>
      <c r="C989" s="246">
        <v>7.0000000000000007E-2</v>
      </c>
      <c r="D989" s="244">
        <v>69.03</v>
      </c>
      <c r="E989" s="150"/>
      <c r="F989" s="150"/>
      <c r="G989" s="153">
        <f t="shared" si="119"/>
        <v>6844220.8860000018</v>
      </c>
      <c r="H989" s="493" t="s">
        <v>25</v>
      </c>
      <c r="I989" s="412" t="s">
        <v>116</v>
      </c>
      <c r="J989" s="412" t="s">
        <v>117</v>
      </c>
      <c r="K989" s="14"/>
      <c r="L989" s="412" t="s">
        <v>437</v>
      </c>
      <c r="M989" t="str">
        <f t="shared" si="118"/>
        <v/>
      </c>
      <c r="N989" t="str">
        <f t="shared" si="115"/>
        <v/>
      </c>
    </row>
    <row r="990" spans="1:14" ht="15" thickBot="1">
      <c r="A990" s="281">
        <v>46282</v>
      </c>
      <c r="B990" s="492" t="s">
        <v>669</v>
      </c>
      <c r="C990" s="246">
        <v>147.53</v>
      </c>
      <c r="D990" s="244">
        <v>144064.79999999999</v>
      </c>
      <c r="E990" s="150"/>
      <c r="F990" s="150"/>
      <c r="G990" s="153">
        <f t="shared" si="119"/>
        <v>6700156.086000002</v>
      </c>
      <c r="H990" s="493" t="s">
        <v>10</v>
      </c>
      <c r="I990" s="522" t="s">
        <v>119</v>
      </c>
      <c r="J990" s="519" t="s">
        <v>443</v>
      </c>
      <c r="K990" s="14"/>
      <c r="L990" s="412" t="s">
        <v>437</v>
      </c>
      <c r="M990" t="str">
        <f t="shared" si="118"/>
        <v/>
      </c>
      <c r="N990" t="str">
        <f t="shared" si="115"/>
        <v/>
      </c>
    </row>
    <row r="991" spans="1:14" ht="15" thickBot="1">
      <c r="A991" s="281">
        <v>46282</v>
      </c>
      <c r="B991" s="492" t="s">
        <v>31</v>
      </c>
      <c r="C991" s="246">
        <v>0.44</v>
      </c>
      <c r="D991" s="244">
        <v>432.19</v>
      </c>
      <c r="E991" s="150"/>
      <c r="F991" s="150"/>
      <c r="G991" s="153">
        <f t="shared" si="119"/>
        <v>6699723.8960000016</v>
      </c>
      <c r="H991" s="493" t="s">
        <v>25</v>
      </c>
      <c r="I991" s="412" t="s">
        <v>116</v>
      </c>
      <c r="J991" s="412" t="s">
        <v>117</v>
      </c>
      <c r="K991" s="14"/>
      <c r="L991" s="412" t="s">
        <v>437</v>
      </c>
      <c r="M991" t="str">
        <f t="shared" si="118"/>
        <v/>
      </c>
      <c r="N991" t="str">
        <f t="shared" si="115"/>
        <v/>
      </c>
    </row>
    <row r="992" spans="1:14" ht="15" thickBot="1">
      <c r="A992" s="69">
        <v>46283</v>
      </c>
      <c r="B992" s="70" t="s">
        <v>670</v>
      </c>
      <c r="C992" s="72"/>
      <c r="D992" s="73"/>
      <c r="E992" s="70">
        <v>29.43</v>
      </c>
      <c r="F992" s="72">
        <v>28743.8</v>
      </c>
      <c r="G992" s="74">
        <f>G991+F992</f>
        <v>6728467.6960000014</v>
      </c>
      <c r="H992" s="75" t="s">
        <v>13</v>
      </c>
      <c r="I992" s="522" t="s">
        <v>127</v>
      </c>
      <c r="J992" s="519" t="s">
        <v>738</v>
      </c>
      <c r="K992" s="523" t="s">
        <v>127</v>
      </c>
      <c r="L992" s="15"/>
      <c r="M992" t="str">
        <f t="shared" si="118"/>
        <v/>
      </c>
      <c r="N992" t="str">
        <f t="shared" si="115"/>
        <v/>
      </c>
    </row>
    <row r="993" spans="1:14" ht="15" thickBot="1">
      <c r="A993" s="69">
        <v>46283</v>
      </c>
      <c r="B993" s="70" t="s">
        <v>636</v>
      </c>
      <c r="C993" s="72"/>
      <c r="D993" s="73"/>
      <c r="E993" s="70">
        <v>11.77</v>
      </c>
      <c r="F993" s="72">
        <v>11497.52</v>
      </c>
      <c r="G993" s="74">
        <f>G992+F993</f>
        <v>6739965.2160000009</v>
      </c>
      <c r="H993" s="75" t="s">
        <v>13</v>
      </c>
      <c r="I993" s="522" t="s">
        <v>127</v>
      </c>
      <c r="J993" s="519" t="s">
        <v>738</v>
      </c>
      <c r="K993" s="523" t="s">
        <v>127</v>
      </c>
      <c r="L993" s="15"/>
      <c r="M993" t="str">
        <f t="shared" si="118"/>
        <v/>
      </c>
      <c r="N993" t="str">
        <f t="shared" si="115"/>
        <v/>
      </c>
    </row>
    <row r="994" spans="1:14" ht="15" thickBot="1">
      <c r="A994" s="281">
        <v>46283</v>
      </c>
      <c r="B994" s="363" t="s">
        <v>309</v>
      </c>
      <c r="C994" s="246">
        <v>0.44</v>
      </c>
      <c r="D994" s="244">
        <v>431.15</v>
      </c>
      <c r="E994" s="150"/>
      <c r="F994" s="150"/>
      <c r="G994" s="153">
        <f t="shared" ref="G994:G1001" si="120">G993-D994</f>
        <v>6739534.0660000006</v>
      </c>
      <c r="H994" s="493" t="s">
        <v>25</v>
      </c>
      <c r="I994" s="412" t="s">
        <v>116</v>
      </c>
      <c r="J994" s="519" t="s">
        <v>117</v>
      </c>
      <c r="K994" s="14"/>
      <c r="L994" s="412" t="s">
        <v>437</v>
      </c>
      <c r="M994" t="str">
        <f t="shared" si="118"/>
        <v/>
      </c>
      <c r="N994" t="str">
        <f t="shared" si="115"/>
        <v/>
      </c>
    </row>
    <row r="995" spans="1:14" ht="15" thickBot="1">
      <c r="A995" s="281">
        <v>46283</v>
      </c>
      <c r="B995" s="363" t="s">
        <v>309</v>
      </c>
      <c r="C995" s="246">
        <v>0.18</v>
      </c>
      <c r="D995" s="244">
        <v>172.46</v>
      </c>
      <c r="E995" s="150"/>
      <c r="F995" s="150"/>
      <c r="G995" s="153">
        <f t="shared" si="120"/>
        <v>6739361.6060000006</v>
      </c>
      <c r="H995" s="493" t="s">
        <v>25</v>
      </c>
      <c r="I995" s="412" t="s">
        <v>116</v>
      </c>
      <c r="J995" s="519" t="s">
        <v>117</v>
      </c>
      <c r="K995" s="14"/>
      <c r="L995" s="412" t="s">
        <v>437</v>
      </c>
      <c r="M995" t="str">
        <f t="shared" si="118"/>
        <v/>
      </c>
      <c r="N995" t="str">
        <f t="shared" si="115"/>
        <v/>
      </c>
    </row>
    <row r="996" spans="1:14" ht="15" thickBot="1">
      <c r="A996" s="281">
        <v>46283</v>
      </c>
      <c r="B996" s="492" t="s">
        <v>671</v>
      </c>
      <c r="C996" s="246">
        <v>1557.85</v>
      </c>
      <c r="D996" s="244">
        <v>1521311.91</v>
      </c>
      <c r="E996" s="150"/>
      <c r="F996" s="150"/>
      <c r="G996" s="153">
        <f t="shared" si="120"/>
        <v>5218049.6960000005</v>
      </c>
      <c r="H996" s="493" t="s">
        <v>10</v>
      </c>
      <c r="I996" s="522" t="s">
        <v>266</v>
      </c>
      <c r="J996" s="519" t="s">
        <v>198</v>
      </c>
      <c r="K996" s="14"/>
      <c r="L996" s="412" t="s">
        <v>437</v>
      </c>
      <c r="M996" t="str">
        <f t="shared" si="118"/>
        <v/>
      </c>
      <c r="N996" t="str">
        <f t="shared" si="115"/>
        <v/>
      </c>
    </row>
    <row r="997" spans="1:14" ht="15" thickBot="1">
      <c r="A997" s="281">
        <v>46283</v>
      </c>
      <c r="B997" s="492" t="s">
        <v>31</v>
      </c>
      <c r="C997" s="246">
        <v>4.67</v>
      </c>
      <c r="D997" s="244">
        <v>4563.93</v>
      </c>
      <c r="E997" s="150"/>
      <c r="F997" s="150"/>
      <c r="G997" s="153">
        <f t="shared" si="120"/>
        <v>5213485.7660000008</v>
      </c>
      <c r="H997" s="493" t="s">
        <v>25</v>
      </c>
      <c r="I997" s="412" t="s">
        <v>116</v>
      </c>
      <c r="J997" s="412" t="s">
        <v>117</v>
      </c>
      <c r="K997" s="14"/>
      <c r="L997" s="412" t="s">
        <v>437</v>
      </c>
      <c r="M997" t="str">
        <f t="shared" si="118"/>
        <v/>
      </c>
      <c r="N997" t="str">
        <f t="shared" si="115"/>
        <v/>
      </c>
    </row>
    <row r="998" spans="1:14" ht="15" thickBot="1">
      <c r="A998" s="281">
        <v>46283</v>
      </c>
      <c r="B998" s="494" t="s">
        <v>672</v>
      </c>
      <c r="C998" s="246">
        <v>521.35</v>
      </c>
      <c r="D998" s="244">
        <v>509127.48</v>
      </c>
      <c r="E998" s="150"/>
      <c r="F998" s="150"/>
      <c r="G998" s="153">
        <f t="shared" si="120"/>
        <v>4704358.2860000003</v>
      </c>
      <c r="H998" s="493" t="s">
        <v>10</v>
      </c>
      <c r="I998" s="522" t="s">
        <v>119</v>
      </c>
      <c r="J998" s="519" t="s">
        <v>128</v>
      </c>
      <c r="K998" s="14"/>
      <c r="L998" s="412" t="s">
        <v>437</v>
      </c>
      <c r="M998" t="str">
        <f t="shared" si="118"/>
        <v/>
      </c>
      <c r="N998" t="str">
        <f t="shared" si="115"/>
        <v/>
      </c>
    </row>
    <row r="999" spans="1:14" ht="15" thickBot="1">
      <c r="A999" s="281">
        <v>46283</v>
      </c>
      <c r="B999" s="492" t="s">
        <v>31</v>
      </c>
      <c r="C999" s="246">
        <v>1.56</v>
      </c>
      <c r="D999" s="244">
        <v>1527.38</v>
      </c>
      <c r="E999" s="150"/>
      <c r="F999" s="150"/>
      <c r="G999" s="153">
        <f t="shared" si="120"/>
        <v>4702830.9060000004</v>
      </c>
      <c r="H999" s="493" t="s">
        <v>25</v>
      </c>
      <c r="I999" s="412" t="s">
        <v>116</v>
      </c>
      <c r="J999" s="412" t="s">
        <v>117</v>
      </c>
      <c r="K999" s="14"/>
      <c r="L999" s="412" t="s">
        <v>437</v>
      </c>
      <c r="M999" t="str">
        <f t="shared" si="118"/>
        <v/>
      </c>
      <c r="N999" t="str">
        <f t="shared" si="115"/>
        <v/>
      </c>
    </row>
    <row r="1000" spans="1:14" ht="15" thickBot="1">
      <c r="A1000" s="281">
        <v>46283</v>
      </c>
      <c r="B1000" s="492" t="s">
        <v>673</v>
      </c>
      <c r="C1000" s="246">
        <v>799.76</v>
      </c>
      <c r="D1000" s="244">
        <v>781001.55</v>
      </c>
      <c r="E1000" s="150"/>
      <c r="F1000" s="150"/>
      <c r="G1000" s="153">
        <f t="shared" si="120"/>
        <v>3921829.3560000006</v>
      </c>
      <c r="H1000" s="493" t="s">
        <v>10</v>
      </c>
      <c r="I1000" s="522" t="s">
        <v>119</v>
      </c>
      <c r="J1000" s="519" t="s">
        <v>128</v>
      </c>
      <c r="K1000" s="14"/>
      <c r="L1000" s="412" t="s">
        <v>437</v>
      </c>
      <c r="M1000" t="str">
        <f t="shared" si="118"/>
        <v/>
      </c>
      <c r="N1000" t="str">
        <f t="shared" si="115"/>
        <v/>
      </c>
    </row>
    <row r="1001" spans="1:14" ht="15" thickBot="1">
      <c r="A1001" s="281">
        <v>46283</v>
      </c>
      <c r="B1001" s="492" t="s">
        <v>31</v>
      </c>
      <c r="C1001" s="246">
        <v>2.4</v>
      </c>
      <c r="D1001" s="244">
        <v>2343</v>
      </c>
      <c r="E1001" s="150"/>
      <c r="F1001" s="150"/>
      <c r="G1001" s="153">
        <f t="shared" si="120"/>
        <v>3919486.3560000006</v>
      </c>
      <c r="H1001" s="493" t="s">
        <v>25</v>
      </c>
      <c r="I1001" s="412" t="s">
        <v>116</v>
      </c>
      <c r="J1001" s="412" t="s">
        <v>117</v>
      </c>
      <c r="K1001" s="14"/>
      <c r="L1001" s="412" t="s">
        <v>437</v>
      </c>
      <c r="M1001" t="str">
        <f t="shared" si="118"/>
        <v/>
      </c>
      <c r="N1001" t="str">
        <f t="shared" si="115"/>
        <v/>
      </c>
    </row>
    <row r="1002" spans="1:14" ht="15" thickBot="1">
      <c r="A1002" s="69">
        <v>46284</v>
      </c>
      <c r="B1002" s="70" t="s">
        <v>674</v>
      </c>
      <c r="C1002" s="72"/>
      <c r="D1002" s="73"/>
      <c r="E1002" s="70">
        <v>17.600000000000001</v>
      </c>
      <c r="F1002" s="72">
        <v>17188.77</v>
      </c>
      <c r="G1002" s="74">
        <f>G1001+F1002</f>
        <v>3936675.1260000006</v>
      </c>
      <c r="H1002" s="75" t="s">
        <v>13</v>
      </c>
      <c r="I1002" s="522" t="s">
        <v>127</v>
      </c>
      <c r="J1002" s="519" t="s">
        <v>738</v>
      </c>
      <c r="K1002" s="522" t="s">
        <v>127</v>
      </c>
      <c r="L1002" s="15"/>
      <c r="M1002" t="str">
        <f t="shared" si="118"/>
        <v/>
      </c>
      <c r="N1002" t="str">
        <f t="shared" si="115"/>
        <v/>
      </c>
    </row>
    <row r="1003" spans="1:14" ht="15" thickBot="1">
      <c r="A1003" s="69">
        <v>46284</v>
      </c>
      <c r="B1003" s="70" t="s">
        <v>635</v>
      </c>
      <c r="C1003" s="72"/>
      <c r="D1003" s="73"/>
      <c r="E1003" s="70">
        <v>14.67</v>
      </c>
      <c r="F1003" s="72">
        <v>14323.98</v>
      </c>
      <c r="G1003" s="74">
        <f>G1002+F1003</f>
        <v>3950999.1060000006</v>
      </c>
      <c r="H1003" s="75" t="s">
        <v>13</v>
      </c>
      <c r="I1003" s="522" t="s">
        <v>127</v>
      </c>
      <c r="J1003" s="519" t="s">
        <v>738</v>
      </c>
      <c r="K1003" s="522" t="s">
        <v>127</v>
      </c>
      <c r="L1003" s="15"/>
      <c r="M1003" t="str">
        <f t="shared" si="118"/>
        <v/>
      </c>
      <c r="N1003" t="str">
        <f t="shared" si="115"/>
        <v/>
      </c>
    </row>
    <row r="1004" spans="1:14" ht="15" thickBot="1">
      <c r="A1004" s="281">
        <v>46284</v>
      </c>
      <c r="B1004" s="492" t="s">
        <v>309</v>
      </c>
      <c r="C1004" s="246">
        <v>0.26</v>
      </c>
      <c r="D1004" s="244">
        <v>257.83</v>
      </c>
      <c r="E1004" s="150"/>
      <c r="F1004" s="150"/>
      <c r="G1004" s="153">
        <f>G1003-D1004</f>
        <v>3950741.2760000005</v>
      </c>
      <c r="H1004" s="493" t="s">
        <v>25</v>
      </c>
      <c r="I1004" s="412" t="s">
        <v>116</v>
      </c>
      <c r="J1004" s="412" t="s">
        <v>117</v>
      </c>
      <c r="K1004" s="14"/>
      <c r="L1004" s="412" t="s">
        <v>437</v>
      </c>
      <c r="M1004" t="str">
        <f t="shared" si="118"/>
        <v/>
      </c>
      <c r="N1004" t="str">
        <f t="shared" si="115"/>
        <v/>
      </c>
    </row>
    <row r="1005" spans="1:14" ht="15" thickBot="1">
      <c r="A1005" s="281">
        <v>46284</v>
      </c>
      <c r="B1005" s="492" t="s">
        <v>309</v>
      </c>
      <c r="C1005" s="246">
        <v>0.22</v>
      </c>
      <c r="D1005" s="244">
        <v>214.85</v>
      </c>
      <c r="E1005" s="150"/>
      <c r="F1005" s="150"/>
      <c r="G1005" s="153">
        <f>G1004-D1005</f>
        <v>3950526.4260000004</v>
      </c>
      <c r="H1005" s="493" t="s">
        <v>25</v>
      </c>
      <c r="I1005" s="412" t="s">
        <v>116</v>
      </c>
      <c r="J1005" s="412" t="s">
        <v>117</v>
      </c>
      <c r="K1005" s="14"/>
      <c r="L1005" s="412" t="s">
        <v>437</v>
      </c>
      <c r="M1005" t="str">
        <f t="shared" si="118"/>
        <v/>
      </c>
      <c r="N1005" t="str">
        <f t="shared" si="115"/>
        <v/>
      </c>
    </row>
    <row r="1006" spans="1:14" ht="15" thickBot="1">
      <c r="A1006" s="281">
        <v>46284</v>
      </c>
      <c r="B1006" s="492" t="s">
        <v>675</v>
      </c>
      <c r="C1006" s="246">
        <v>7.87</v>
      </c>
      <c r="D1006" s="244">
        <v>7687</v>
      </c>
      <c r="E1006" s="150"/>
      <c r="F1006" s="150"/>
      <c r="G1006" s="153">
        <f>G1005-D1006</f>
        <v>3942839.4260000004</v>
      </c>
      <c r="H1006" s="493" t="s">
        <v>13</v>
      </c>
      <c r="I1006" s="522" t="s">
        <v>119</v>
      </c>
      <c r="J1006" s="519" t="s">
        <v>128</v>
      </c>
      <c r="K1006" s="14"/>
      <c r="L1006" s="412" t="s">
        <v>437</v>
      </c>
      <c r="M1006" t="str">
        <f t="shared" si="118"/>
        <v/>
      </c>
      <c r="N1006" t="str">
        <f t="shared" si="115"/>
        <v/>
      </c>
    </row>
    <row r="1007" spans="1:14" ht="15" thickBot="1">
      <c r="A1007" s="281">
        <v>46284</v>
      </c>
      <c r="B1007" s="492" t="s">
        <v>676</v>
      </c>
      <c r="C1007" s="246">
        <v>1.57</v>
      </c>
      <c r="D1007" s="244">
        <v>1529.22</v>
      </c>
      <c r="E1007" s="150"/>
      <c r="F1007" s="150"/>
      <c r="G1007" s="153">
        <f>G1006-D1007</f>
        <v>3941310.2060000002</v>
      </c>
      <c r="H1007" s="493" t="s">
        <v>13</v>
      </c>
      <c r="I1007" s="522" t="s">
        <v>119</v>
      </c>
      <c r="J1007" s="519" t="s">
        <v>128</v>
      </c>
      <c r="K1007" s="14"/>
      <c r="L1007" s="412" t="s">
        <v>437</v>
      </c>
      <c r="M1007" t="str">
        <f t="shared" si="118"/>
        <v/>
      </c>
      <c r="N1007" t="str">
        <f t="shared" si="115"/>
        <v/>
      </c>
    </row>
    <row r="1008" spans="1:14" ht="15" thickBot="1">
      <c r="A1008" s="281">
        <v>46284</v>
      </c>
      <c r="B1008" s="492" t="s">
        <v>677</v>
      </c>
      <c r="C1008" s="246">
        <v>2.68</v>
      </c>
      <c r="D1008" s="244">
        <v>2617.5</v>
      </c>
      <c r="E1008" s="150"/>
      <c r="F1008" s="150"/>
      <c r="G1008" s="153">
        <f>G1007-D1008</f>
        <v>3938692.7060000002</v>
      </c>
      <c r="H1008" s="493" t="s">
        <v>13</v>
      </c>
      <c r="I1008" s="522" t="s">
        <v>119</v>
      </c>
      <c r="J1008" s="519" t="s">
        <v>128</v>
      </c>
      <c r="K1008" s="14"/>
      <c r="L1008" s="412" t="s">
        <v>437</v>
      </c>
      <c r="M1008" t="str">
        <f t="shared" si="118"/>
        <v/>
      </c>
      <c r="N1008" t="str">
        <f t="shared" si="115"/>
        <v/>
      </c>
    </row>
    <row r="1009" spans="1:14" ht="15" thickBot="1">
      <c r="A1009" s="69">
        <v>46285</v>
      </c>
      <c r="B1009" s="70" t="s">
        <v>644</v>
      </c>
      <c r="C1009" s="72"/>
      <c r="D1009" s="73"/>
      <c r="E1009" s="70">
        <v>40.270000000000003</v>
      </c>
      <c r="F1009" s="72">
        <v>34371.919999999998</v>
      </c>
      <c r="G1009" s="74">
        <f>G1008+F1009</f>
        <v>3973064.6260000002</v>
      </c>
      <c r="H1009" s="75" t="s">
        <v>13</v>
      </c>
      <c r="I1009" s="522" t="s">
        <v>127</v>
      </c>
      <c r="J1009" s="519" t="s">
        <v>738</v>
      </c>
      <c r="K1009" s="522" t="s">
        <v>127</v>
      </c>
      <c r="L1009" s="15"/>
      <c r="M1009" t="str">
        <f t="shared" si="118"/>
        <v/>
      </c>
      <c r="N1009" t="str">
        <f t="shared" si="115"/>
        <v/>
      </c>
    </row>
    <row r="1010" spans="1:14" ht="15" thickBot="1">
      <c r="A1010" s="281">
        <v>46285</v>
      </c>
      <c r="B1010" s="492" t="s">
        <v>309</v>
      </c>
      <c r="C1010" s="246">
        <v>0.53</v>
      </c>
      <c r="D1010" s="244">
        <v>515.57000000000005</v>
      </c>
      <c r="E1010" s="150"/>
      <c r="F1010" s="150"/>
      <c r="G1010" s="153">
        <f>G1009-D1010</f>
        <v>3972549.0560000003</v>
      </c>
      <c r="H1010" s="493" t="s">
        <v>25</v>
      </c>
      <c r="I1010" s="412" t="s">
        <v>116</v>
      </c>
      <c r="J1010" s="412" t="s">
        <v>117</v>
      </c>
      <c r="K1010" s="14"/>
      <c r="L1010" s="412" t="s">
        <v>437</v>
      </c>
      <c r="M1010" t="str">
        <f t="shared" si="118"/>
        <v/>
      </c>
      <c r="N1010" t="str">
        <f t="shared" si="115"/>
        <v/>
      </c>
    </row>
    <row r="1011" spans="1:14" ht="15" thickBot="1">
      <c r="A1011" s="69">
        <v>46285</v>
      </c>
      <c r="B1011" s="70" t="s">
        <v>678</v>
      </c>
      <c r="C1011" s="72"/>
      <c r="D1011" s="73"/>
      <c r="E1011" s="70">
        <v>29.33</v>
      </c>
      <c r="F1011" s="72">
        <v>28641.88</v>
      </c>
      <c r="G1011" s="74">
        <f>G1010+F1011</f>
        <v>4001190.9360000002</v>
      </c>
      <c r="H1011" s="75" t="s">
        <v>13</v>
      </c>
      <c r="I1011" s="522" t="s">
        <v>127</v>
      </c>
      <c r="J1011" s="519" t="s">
        <v>738</v>
      </c>
      <c r="K1011" s="522" t="s">
        <v>127</v>
      </c>
      <c r="L1011" s="15"/>
      <c r="M1011" t="str">
        <f t="shared" si="118"/>
        <v/>
      </c>
      <c r="N1011" t="str">
        <f t="shared" si="115"/>
        <v/>
      </c>
    </row>
    <row r="1012" spans="1:14" ht="15" thickBot="1">
      <c r="A1012" s="281">
        <v>46285</v>
      </c>
      <c r="B1012" s="492" t="s">
        <v>309</v>
      </c>
      <c r="C1012" s="246">
        <v>0.44</v>
      </c>
      <c r="D1012" s="244">
        <v>429.62</v>
      </c>
      <c r="E1012" s="150"/>
      <c r="F1012" s="150"/>
      <c r="G1012" s="153">
        <f>G1011-D1012</f>
        <v>4000761.3160000001</v>
      </c>
      <c r="H1012" s="493" t="s">
        <v>25</v>
      </c>
      <c r="I1012" s="412" t="s">
        <v>116</v>
      </c>
      <c r="J1012" s="412" t="s">
        <v>117</v>
      </c>
      <c r="K1012" s="14"/>
      <c r="L1012" s="412" t="s">
        <v>437</v>
      </c>
      <c r="M1012" t="str">
        <f t="shared" si="118"/>
        <v/>
      </c>
      <c r="N1012" t="str">
        <f t="shared" si="115"/>
        <v/>
      </c>
    </row>
    <row r="1013" spans="1:14" ht="15" thickBot="1">
      <c r="A1013" s="69">
        <v>46286</v>
      </c>
      <c r="B1013" s="70" t="s">
        <v>642</v>
      </c>
      <c r="C1013" s="72"/>
      <c r="D1013" s="73"/>
      <c r="E1013" s="70">
        <v>23.47</v>
      </c>
      <c r="F1013" s="72">
        <v>22923.18</v>
      </c>
      <c r="G1013" s="74">
        <f>G1012+F1013</f>
        <v>4023684.4960000003</v>
      </c>
      <c r="H1013" s="75" t="s">
        <v>13</v>
      </c>
      <c r="I1013" s="522" t="s">
        <v>127</v>
      </c>
      <c r="J1013" s="519" t="s">
        <v>738</v>
      </c>
      <c r="K1013" s="522" t="s">
        <v>127</v>
      </c>
      <c r="L1013" s="15"/>
      <c r="M1013" t="str">
        <f t="shared" si="118"/>
        <v/>
      </c>
      <c r="N1013" t="str">
        <f t="shared" si="115"/>
        <v/>
      </c>
    </row>
    <row r="1014" spans="1:14" ht="15" thickBot="1">
      <c r="A1014" s="69">
        <v>46286</v>
      </c>
      <c r="B1014" s="70" t="s">
        <v>679</v>
      </c>
      <c r="C1014" s="72"/>
      <c r="D1014" s="73"/>
      <c r="E1014" s="70">
        <v>8.8000000000000007</v>
      </c>
      <c r="F1014" s="72">
        <v>8595.84</v>
      </c>
      <c r="G1014" s="74">
        <f>G1013+F1014</f>
        <v>4032280.3360000001</v>
      </c>
      <c r="H1014" s="75" t="s">
        <v>13</v>
      </c>
      <c r="I1014" s="522" t="s">
        <v>127</v>
      </c>
      <c r="J1014" s="519" t="s">
        <v>738</v>
      </c>
      <c r="K1014" s="522" t="s">
        <v>127</v>
      </c>
      <c r="L1014" s="15"/>
      <c r="M1014" t="str">
        <f t="shared" si="118"/>
        <v/>
      </c>
      <c r="N1014" t="str">
        <f t="shared" si="115"/>
        <v/>
      </c>
    </row>
    <row r="1015" spans="1:14" ht="15" thickBot="1">
      <c r="A1015" s="281">
        <v>46286</v>
      </c>
      <c r="B1015" s="492" t="s">
        <v>309</v>
      </c>
      <c r="C1015" s="246">
        <v>0.35</v>
      </c>
      <c r="D1015" s="244">
        <v>343.84</v>
      </c>
      <c r="E1015" s="150"/>
      <c r="F1015" s="150"/>
      <c r="G1015" s="153">
        <f>G1014-D1015</f>
        <v>4031936.4960000003</v>
      </c>
      <c r="H1015" s="493" t="s">
        <v>25</v>
      </c>
      <c r="I1015" s="412" t="s">
        <v>116</v>
      </c>
      <c r="J1015" s="412" t="s">
        <v>117</v>
      </c>
      <c r="K1015" s="14"/>
      <c r="L1015" s="412" t="s">
        <v>437</v>
      </c>
      <c r="M1015" t="str">
        <f t="shared" si="118"/>
        <v/>
      </c>
      <c r="N1015" t="str">
        <f t="shared" si="115"/>
        <v/>
      </c>
    </row>
    <row r="1016" spans="1:14" ht="15" thickBot="1">
      <c r="A1016" s="281">
        <v>46286</v>
      </c>
      <c r="B1016" s="492" t="s">
        <v>309</v>
      </c>
      <c r="C1016" s="246">
        <v>0.13</v>
      </c>
      <c r="D1016" s="244">
        <v>128.93</v>
      </c>
      <c r="E1016" s="150"/>
      <c r="F1016" s="150"/>
      <c r="G1016" s="153">
        <f>G1015-D1016</f>
        <v>4031807.5660000001</v>
      </c>
      <c r="H1016" s="493" t="s">
        <v>25</v>
      </c>
      <c r="I1016" s="412" t="s">
        <v>116</v>
      </c>
      <c r="J1016" s="412" t="s">
        <v>117</v>
      </c>
      <c r="K1016" s="14"/>
      <c r="L1016" s="412" t="s">
        <v>437</v>
      </c>
      <c r="M1016" t="str">
        <f t="shared" si="118"/>
        <v/>
      </c>
      <c r="N1016" t="str">
        <f t="shared" si="115"/>
        <v/>
      </c>
    </row>
    <row r="1017" spans="1:14" ht="29.5" thickBot="1">
      <c r="A1017" s="69">
        <v>46286</v>
      </c>
      <c r="B1017" s="378" t="s">
        <v>680</v>
      </c>
      <c r="C1017" s="72"/>
      <c r="D1017" s="73"/>
      <c r="E1017" s="70">
        <v>152.61000000000001</v>
      </c>
      <c r="F1017" s="72">
        <v>149035.79</v>
      </c>
      <c r="G1017" s="74">
        <f>G1016+F1017</f>
        <v>4180843.3560000001</v>
      </c>
      <c r="H1017" s="75" t="s">
        <v>10</v>
      </c>
      <c r="I1017" s="522" t="s">
        <v>127</v>
      </c>
      <c r="J1017" s="519" t="s">
        <v>740</v>
      </c>
      <c r="K1017" s="522" t="s">
        <v>127</v>
      </c>
      <c r="L1017" s="15"/>
      <c r="M1017" t="str">
        <f t="shared" si="118"/>
        <v/>
      </c>
      <c r="N1017" t="str">
        <f t="shared" si="115"/>
        <v/>
      </c>
    </row>
    <row r="1018" spans="1:14" ht="15" thickBot="1">
      <c r="A1018" s="281">
        <v>46286</v>
      </c>
      <c r="B1018" s="492" t="s">
        <v>681</v>
      </c>
      <c r="C1018" s="246">
        <v>101.49</v>
      </c>
      <c r="D1018" s="244">
        <v>99110.14</v>
      </c>
      <c r="E1018" s="150"/>
      <c r="F1018" s="150"/>
      <c r="G1018" s="153">
        <f>G1017-D1018</f>
        <v>4081733.216</v>
      </c>
      <c r="H1018" s="493" t="s">
        <v>10</v>
      </c>
      <c r="I1018" s="522" t="s">
        <v>116</v>
      </c>
      <c r="J1018" s="519" t="s">
        <v>121</v>
      </c>
      <c r="K1018" s="14"/>
      <c r="L1018" s="15"/>
      <c r="M1018" t="str">
        <f t="shared" si="118"/>
        <v/>
      </c>
      <c r="N1018" t="str">
        <f t="shared" si="115"/>
        <v/>
      </c>
    </row>
    <row r="1019" spans="1:14" ht="15" thickBot="1">
      <c r="A1019" s="281">
        <v>46286</v>
      </c>
      <c r="B1019" s="492" t="s">
        <v>31</v>
      </c>
      <c r="C1019" s="246">
        <v>0.3</v>
      </c>
      <c r="D1019" s="244">
        <v>297.33</v>
      </c>
      <c r="E1019" s="150"/>
      <c r="F1019" s="150"/>
      <c r="G1019" s="153">
        <f>G1018-D1019</f>
        <v>4081435.8859999999</v>
      </c>
      <c r="H1019" s="493" t="s">
        <v>25</v>
      </c>
      <c r="I1019" s="522" t="s">
        <v>116</v>
      </c>
      <c r="J1019" s="519" t="s">
        <v>25</v>
      </c>
      <c r="K1019" s="14"/>
      <c r="L1019" s="15"/>
      <c r="M1019" t="str">
        <f t="shared" si="118"/>
        <v/>
      </c>
      <c r="N1019" t="str">
        <f t="shared" si="115"/>
        <v/>
      </c>
    </row>
    <row r="1020" spans="1:14" ht="15" thickBot="1">
      <c r="A1020" s="69">
        <v>46287</v>
      </c>
      <c r="B1020" s="70" t="s">
        <v>682</v>
      </c>
      <c r="C1020" s="72"/>
      <c r="D1020" s="73"/>
      <c r="E1020" s="70">
        <v>32.270000000000003</v>
      </c>
      <c r="F1020" s="72">
        <v>31508.38</v>
      </c>
      <c r="G1020" s="74">
        <f>G1019+F1020</f>
        <v>4112944.2659999998</v>
      </c>
      <c r="H1020" s="75" t="s">
        <v>13</v>
      </c>
      <c r="I1020" s="522" t="s">
        <v>127</v>
      </c>
      <c r="J1020" s="519" t="s">
        <v>738</v>
      </c>
      <c r="K1020" s="522" t="s">
        <v>127</v>
      </c>
      <c r="L1020" s="15"/>
      <c r="M1020" t="str">
        <f t="shared" si="118"/>
        <v/>
      </c>
      <c r="N1020" t="str">
        <f t="shared" si="115"/>
        <v/>
      </c>
    </row>
    <row r="1021" spans="1:14" ht="15" thickBot="1">
      <c r="A1021" s="69">
        <v>46287</v>
      </c>
      <c r="B1021" s="70" t="s">
        <v>656</v>
      </c>
      <c r="C1021" s="72"/>
      <c r="D1021" s="73"/>
      <c r="E1021" s="70">
        <v>29.85</v>
      </c>
      <c r="F1021" s="72">
        <v>29153.279999999999</v>
      </c>
      <c r="G1021" s="74">
        <f>G1020+F1021</f>
        <v>4142097.5459999996</v>
      </c>
      <c r="H1021" s="75" t="s">
        <v>13</v>
      </c>
      <c r="I1021" s="522" t="s">
        <v>127</v>
      </c>
      <c r="J1021" s="519" t="s">
        <v>738</v>
      </c>
      <c r="K1021" s="522" t="s">
        <v>127</v>
      </c>
      <c r="L1021" s="15"/>
      <c r="M1021" t="str">
        <f t="shared" si="118"/>
        <v/>
      </c>
      <c r="N1021" t="str">
        <f t="shared" si="115"/>
        <v/>
      </c>
    </row>
    <row r="1022" spans="1:14" ht="15" thickBot="1">
      <c r="A1022" s="281">
        <v>46287</v>
      </c>
      <c r="B1022" s="492" t="s">
        <v>309</v>
      </c>
      <c r="C1022" s="246">
        <v>0.48</v>
      </c>
      <c r="D1022" s="244">
        <v>472.62</v>
      </c>
      <c r="E1022" s="150"/>
      <c r="F1022" s="150"/>
      <c r="G1022" s="153">
        <f>G1021-D1022</f>
        <v>4141624.9259999995</v>
      </c>
      <c r="H1022" s="493" t="s">
        <v>25</v>
      </c>
      <c r="I1022" s="412" t="s">
        <v>116</v>
      </c>
      <c r="J1022" s="412" t="s">
        <v>117</v>
      </c>
      <c r="K1022" s="522"/>
      <c r="L1022" s="412" t="s">
        <v>437</v>
      </c>
      <c r="M1022" t="str">
        <f t="shared" si="118"/>
        <v/>
      </c>
      <c r="N1022" t="str">
        <f t="shared" si="115"/>
        <v/>
      </c>
    </row>
    <row r="1023" spans="1:14" ht="15" thickBot="1">
      <c r="A1023" s="281">
        <v>46287</v>
      </c>
      <c r="B1023" s="492" t="s">
        <v>309</v>
      </c>
      <c r="C1023" s="246">
        <v>0.45</v>
      </c>
      <c r="D1023" s="244">
        <v>437.29</v>
      </c>
      <c r="E1023" s="150"/>
      <c r="F1023" s="150"/>
      <c r="G1023" s="153">
        <f>G1022-D1023</f>
        <v>4141187.6359999995</v>
      </c>
      <c r="H1023" s="493" t="s">
        <v>25</v>
      </c>
      <c r="I1023" s="412" t="s">
        <v>116</v>
      </c>
      <c r="J1023" s="412" t="s">
        <v>117</v>
      </c>
      <c r="K1023" s="14"/>
      <c r="L1023" s="412" t="s">
        <v>437</v>
      </c>
      <c r="M1023" t="str">
        <f t="shared" si="118"/>
        <v/>
      </c>
      <c r="N1023" t="str">
        <f t="shared" si="115"/>
        <v/>
      </c>
    </row>
    <row r="1024" spans="1:14" ht="15" thickBot="1">
      <c r="A1024" s="69">
        <v>46287</v>
      </c>
      <c r="B1024" s="70" t="s">
        <v>683</v>
      </c>
      <c r="C1024" s="72"/>
      <c r="D1024" s="73"/>
      <c r="E1024" s="381">
        <v>5699.96</v>
      </c>
      <c r="F1024" s="72">
        <v>5566823.5800000001</v>
      </c>
      <c r="G1024" s="74">
        <f>G1023+F1024</f>
        <v>9708011.216</v>
      </c>
      <c r="H1024" s="75" t="s">
        <v>10</v>
      </c>
      <c r="I1024" s="522" t="s">
        <v>127</v>
      </c>
      <c r="J1024" s="519" t="s">
        <v>737</v>
      </c>
      <c r="K1024" s="523" t="s">
        <v>127</v>
      </c>
      <c r="L1024" s="15"/>
      <c r="M1024" t="str">
        <f t="shared" si="118"/>
        <v/>
      </c>
      <c r="N1024" t="str">
        <f t="shared" si="115"/>
        <v/>
      </c>
    </row>
    <row r="1025" spans="1:14" ht="15" thickBot="1">
      <c r="A1025" s="281">
        <v>46287</v>
      </c>
      <c r="B1025" s="492" t="s">
        <v>684</v>
      </c>
      <c r="C1025" s="246">
        <v>8.0399999999999991</v>
      </c>
      <c r="D1025" s="244">
        <v>7850.88</v>
      </c>
      <c r="E1025" s="150"/>
      <c r="F1025" s="150"/>
      <c r="G1025" s="153">
        <f>G1024-D1025</f>
        <v>9700160.3359999992</v>
      </c>
      <c r="H1025" s="493" t="s">
        <v>13</v>
      </c>
      <c r="I1025" s="522" t="s">
        <v>119</v>
      </c>
      <c r="J1025" s="519" t="s">
        <v>128</v>
      </c>
      <c r="K1025" s="14"/>
      <c r="L1025" s="412" t="s">
        <v>437</v>
      </c>
      <c r="M1025" t="str">
        <f t="shared" si="118"/>
        <v/>
      </c>
      <c r="N1025" t="str">
        <f t="shared" si="115"/>
        <v/>
      </c>
    </row>
    <row r="1026" spans="1:14" ht="15" thickBot="1">
      <c r="A1026" s="281">
        <v>46287</v>
      </c>
      <c r="B1026" s="495" t="s">
        <v>685</v>
      </c>
      <c r="C1026" s="246">
        <v>1.58</v>
      </c>
      <c r="D1026" s="244">
        <v>1534.35</v>
      </c>
      <c r="E1026" s="150"/>
      <c r="F1026" s="150"/>
      <c r="G1026" s="153">
        <f>G1025-D1026</f>
        <v>9698625.9859999996</v>
      </c>
      <c r="H1026" s="496" t="s">
        <v>13</v>
      </c>
      <c r="I1026" s="522" t="s">
        <v>119</v>
      </c>
      <c r="J1026" s="519" t="s">
        <v>128</v>
      </c>
      <c r="K1026" s="14"/>
      <c r="L1026" s="412" t="s">
        <v>437</v>
      </c>
      <c r="M1026" t="str">
        <f t="shared" si="118"/>
        <v/>
      </c>
      <c r="N1026" t="str">
        <f t="shared" si="115"/>
        <v/>
      </c>
    </row>
    <row r="1027" spans="1:14" ht="15" thickBot="1">
      <c r="A1027" s="281">
        <v>46287</v>
      </c>
      <c r="B1027" s="495" t="s">
        <v>686</v>
      </c>
      <c r="C1027" s="246">
        <v>42.34</v>
      </c>
      <c r="D1027" s="244">
        <v>41237</v>
      </c>
      <c r="E1027" s="150"/>
      <c r="F1027" s="150"/>
      <c r="G1027" s="153">
        <f>G1026-D1027</f>
        <v>9657388.9859999996</v>
      </c>
      <c r="H1027" s="496" t="s">
        <v>13</v>
      </c>
      <c r="I1027" s="522" t="s">
        <v>119</v>
      </c>
      <c r="J1027" s="519" t="s">
        <v>128</v>
      </c>
      <c r="K1027" s="14"/>
      <c r="L1027" s="412" t="s">
        <v>437</v>
      </c>
      <c r="M1027" t="str">
        <f t="shared" si="118"/>
        <v/>
      </c>
      <c r="N1027" t="str">
        <f t="shared" si="115"/>
        <v/>
      </c>
    </row>
    <row r="1028" spans="1:14" ht="15" thickBot="1">
      <c r="A1028" s="281">
        <v>46287</v>
      </c>
      <c r="B1028" s="495" t="s">
        <v>687</v>
      </c>
      <c r="C1028" s="246">
        <v>2.8</v>
      </c>
      <c r="D1028" s="244">
        <v>2727.74</v>
      </c>
      <c r="E1028" s="150"/>
      <c r="F1028" s="150"/>
      <c r="G1028" s="153">
        <f t="shared" ref="G1028:G1037" si="121">G1027-D1028</f>
        <v>9654661.2459999993</v>
      </c>
      <c r="H1028" s="496" t="s">
        <v>13</v>
      </c>
      <c r="I1028" s="522" t="s">
        <v>119</v>
      </c>
      <c r="J1028" s="519" t="s">
        <v>128</v>
      </c>
      <c r="K1028" s="14"/>
      <c r="L1028" s="412" t="s">
        <v>437</v>
      </c>
      <c r="M1028" t="str">
        <f t="shared" si="118"/>
        <v/>
      </c>
      <c r="N1028" t="str">
        <f t="shared" ref="N1028:N1091" si="122">IF(C1028="","",IF(C1028=D1028,"OJOOO",""))</f>
        <v/>
      </c>
    </row>
    <row r="1029" spans="1:14" ht="15" thickBot="1">
      <c r="A1029" s="281">
        <v>46287</v>
      </c>
      <c r="B1029" s="495" t="s">
        <v>688</v>
      </c>
      <c r="C1029" s="246">
        <v>10.52</v>
      </c>
      <c r="D1029" s="244">
        <v>10248</v>
      </c>
      <c r="E1029" s="150"/>
      <c r="F1029" s="150"/>
      <c r="G1029" s="153">
        <f t="shared" si="121"/>
        <v>9644413.2459999993</v>
      </c>
      <c r="H1029" s="496" t="s">
        <v>13</v>
      </c>
      <c r="I1029" s="522" t="s">
        <v>119</v>
      </c>
      <c r="J1029" s="519" t="s">
        <v>128</v>
      </c>
      <c r="K1029" s="14"/>
      <c r="L1029" s="412" t="s">
        <v>437</v>
      </c>
      <c r="M1029" t="str">
        <f t="shared" si="118"/>
        <v/>
      </c>
      <c r="N1029" t="str">
        <f t="shared" si="122"/>
        <v/>
      </c>
    </row>
    <row r="1030" spans="1:14" ht="15" thickBot="1">
      <c r="A1030" s="281">
        <v>46287</v>
      </c>
      <c r="B1030" s="495" t="s">
        <v>689</v>
      </c>
      <c r="C1030" s="246">
        <v>32.380000000000003</v>
      </c>
      <c r="D1030" s="244">
        <v>31539.42</v>
      </c>
      <c r="E1030" s="150"/>
      <c r="F1030" s="150"/>
      <c r="G1030" s="153">
        <f t="shared" si="121"/>
        <v>9612873.8259999994</v>
      </c>
      <c r="H1030" s="496" t="s">
        <v>10</v>
      </c>
      <c r="I1030" s="522" t="s">
        <v>119</v>
      </c>
      <c r="J1030" s="519" t="s">
        <v>129</v>
      </c>
      <c r="K1030" s="14"/>
      <c r="L1030" s="412" t="s">
        <v>437</v>
      </c>
      <c r="M1030" t="str">
        <f t="shared" si="118"/>
        <v/>
      </c>
      <c r="N1030" t="str">
        <f t="shared" si="122"/>
        <v/>
      </c>
    </row>
    <row r="1031" spans="1:14" ht="15" thickBot="1">
      <c r="A1031" s="281">
        <v>46287</v>
      </c>
      <c r="B1031" s="492" t="s">
        <v>31</v>
      </c>
      <c r="C1031" s="246">
        <v>0.1</v>
      </c>
      <c r="D1031" s="244">
        <v>94.61</v>
      </c>
      <c r="E1031" s="150"/>
      <c r="F1031" s="150"/>
      <c r="G1031" s="153">
        <f t="shared" si="121"/>
        <v>9612779.216</v>
      </c>
      <c r="H1031" s="496" t="s">
        <v>25</v>
      </c>
      <c r="I1031" s="412" t="s">
        <v>116</v>
      </c>
      <c r="J1031" s="412" t="s">
        <v>117</v>
      </c>
      <c r="K1031" s="14"/>
      <c r="L1031" s="412" t="s">
        <v>437</v>
      </c>
      <c r="M1031" t="str">
        <f t="shared" si="118"/>
        <v/>
      </c>
      <c r="N1031" t="str">
        <f t="shared" si="122"/>
        <v/>
      </c>
    </row>
    <row r="1032" spans="1:14" ht="15" thickBot="1">
      <c r="A1032" s="281">
        <v>46287</v>
      </c>
      <c r="B1032" s="495" t="s">
        <v>690</v>
      </c>
      <c r="C1032" s="246">
        <v>113.76</v>
      </c>
      <c r="D1032" s="244">
        <v>110814.18</v>
      </c>
      <c r="E1032" s="150"/>
      <c r="F1032" s="150"/>
      <c r="G1032" s="153">
        <f t="shared" si="121"/>
        <v>9501965.0360000003</v>
      </c>
      <c r="H1032" s="496" t="s">
        <v>10</v>
      </c>
      <c r="I1032" s="522" t="s">
        <v>119</v>
      </c>
      <c r="J1032" s="519" t="s">
        <v>443</v>
      </c>
      <c r="K1032" s="14"/>
      <c r="L1032" s="412" t="s">
        <v>437</v>
      </c>
      <c r="M1032" t="str">
        <f t="shared" si="118"/>
        <v/>
      </c>
      <c r="N1032" t="str">
        <f t="shared" si="122"/>
        <v/>
      </c>
    </row>
    <row r="1033" spans="1:14" ht="15" thickBot="1">
      <c r="A1033" s="281">
        <v>46287</v>
      </c>
      <c r="B1033" s="492" t="s">
        <v>31</v>
      </c>
      <c r="C1033" s="246">
        <v>0.34</v>
      </c>
      <c r="D1033" s="244">
        <v>332.44</v>
      </c>
      <c r="E1033" s="150"/>
      <c r="F1033" s="150"/>
      <c r="G1033" s="153">
        <f t="shared" si="121"/>
        <v>9501632.5960000008</v>
      </c>
      <c r="H1033" s="496" t="s">
        <v>25</v>
      </c>
      <c r="I1033" s="412" t="s">
        <v>116</v>
      </c>
      <c r="J1033" s="412" t="s">
        <v>117</v>
      </c>
      <c r="K1033" s="14"/>
      <c r="L1033" s="412" t="s">
        <v>437</v>
      </c>
      <c r="M1033" t="str">
        <f t="shared" si="118"/>
        <v/>
      </c>
      <c r="N1033" t="str">
        <f t="shared" si="122"/>
        <v/>
      </c>
    </row>
    <row r="1034" spans="1:14" ht="15" thickBot="1">
      <c r="A1034" s="281">
        <v>46287</v>
      </c>
      <c r="B1034" s="495" t="s">
        <v>691</v>
      </c>
      <c r="C1034" s="246">
        <v>13.2</v>
      </c>
      <c r="D1034" s="244">
        <v>12853.34</v>
      </c>
      <c r="E1034" s="150"/>
      <c r="F1034" s="150"/>
      <c r="G1034" s="153">
        <f t="shared" si="121"/>
        <v>9488779.256000001</v>
      </c>
      <c r="H1034" s="496" t="s">
        <v>10</v>
      </c>
      <c r="I1034" s="522" t="s">
        <v>119</v>
      </c>
      <c r="J1034" s="519" t="s">
        <v>443</v>
      </c>
      <c r="K1034" s="14"/>
      <c r="L1034" s="412" t="s">
        <v>437</v>
      </c>
      <c r="M1034" t="str">
        <f t="shared" si="118"/>
        <v/>
      </c>
      <c r="N1034" t="str">
        <f t="shared" si="122"/>
        <v/>
      </c>
    </row>
    <row r="1035" spans="1:14" ht="15" thickBot="1">
      <c r="A1035" s="281">
        <v>46287</v>
      </c>
      <c r="B1035" s="492" t="s">
        <v>31</v>
      </c>
      <c r="C1035" s="246">
        <v>0.04</v>
      </c>
      <c r="D1035" s="244">
        <v>38.56</v>
      </c>
      <c r="E1035" s="150"/>
      <c r="F1035" s="150"/>
      <c r="G1035" s="153">
        <f t="shared" si="121"/>
        <v>9488740.6960000005</v>
      </c>
      <c r="H1035" s="496" t="s">
        <v>25</v>
      </c>
      <c r="I1035" s="412" t="s">
        <v>116</v>
      </c>
      <c r="J1035" s="412" t="s">
        <v>117</v>
      </c>
      <c r="K1035" s="14"/>
      <c r="L1035" s="412" t="s">
        <v>437</v>
      </c>
      <c r="M1035" t="str">
        <f t="shared" si="118"/>
        <v/>
      </c>
      <c r="N1035" t="str">
        <f t="shared" si="122"/>
        <v/>
      </c>
    </row>
    <row r="1036" spans="1:14" ht="15" thickBot="1">
      <c r="A1036" s="281">
        <v>46287</v>
      </c>
      <c r="B1036" s="495" t="s">
        <v>692</v>
      </c>
      <c r="C1036" s="246">
        <v>432.44</v>
      </c>
      <c r="D1036" s="244">
        <v>421225.23</v>
      </c>
      <c r="E1036" s="150"/>
      <c r="F1036" s="150"/>
      <c r="G1036" s="153">
        <f t="shared" si="121"/>
        <v>9067515.466</v>
      </c>
      <c r="H1036" s="496" t="s">
        <v>10</v>
      </c>
      <c r="I1036" s="522" t="s">
        <v>266</v>
      </c>
      <c r="J1036" s="519" t="s">
        <v>265</v>
      </c>
      <c r="K1036" s="14"/>
      <c r="L1036" s="412" t="s">
        <v>437</v>
      </c>
      <c r="M1036" t="str">
        <f t="shared" si="118"/>
        <v/>
      </c>
      <c r="N1036" t="str">
        <f t="shared" si="122"/>
        <v/>
      </c>
    </row>
    <row r="1037" spans="1:14" ht="15" thickBot="1">
      <c r="A1037" s="281">
        <v>46287</v>
      </c>
      <c r="B1037" s="495" t="s">
        <v>693</v>
      </c>
      <c r="C1037" s="246">
        <v>35.26</v>
      </c>
      <c r="D1037" s="244">
        <v>34343.64</v>
      </c>
      <c r="E1037" s="150"/>
      <c r="F1037" s="150"/>
      <c r="G1037" s="153">
        <f t="shared" si="121"/>
        <v>9033171.8259999994</v>
      </c>
      <c r="H1037" s="496" t="s">
        <v>10</v>
      </c>
      <c r="I1037" s="522" t="s">
        <v>266</v>
      </c>
      <c r="J1037" s="519" t="s">
        <v>745</v>
      </c>
      <c r="K1037" s="14"/>
      <c r="L1037" s="412" t="s">
        <v>437</v>
      </c>
      <c r="M1037" t="str">
        <f t="shared" si="118"/>
        <v/>
      </c>
      <c r="N1037" t="str">
        <f t="shared" si="122"/>
        <v/>
      </c>
    </row>
    <row r="1038" spans="1:14" ht="15" thickBot="1">
      <c r="A1038" s="69">
        <v>46288</v>
      </c>
      <c r="B1038" s="70" t="s">
        <v>703</v>
      </c>
      <c r="C1038" s="72"/>
      <c r="D1038" s="73"/>
      <c r="E1038" s="70">
        <v>32.479999999999997</v>
      </c>
      <c r="F1038" s="72">
        <v>31634.13</v>
      </c>
      <c r="G1038" s="74">
        <f>G1037+F1038</f>
        <v>9064805.9560000002</v>
      </c>
      <c r="H1038" s="75" t="s">
        <v>13</v>
      </c>
      <c r="I1038" s="522" t="s">
        <v>127</v>
      </c>
      <c r="J1038" s="519" t="s">
        <v>738</v>
      </c>
      <c r="K1038" s="523" t="s">
        <v>127</v>
      </c>
      <c r="L1038" s="15"/>
      <c r="M1038" t="str">
        <f t="shared" si="118"/>
        <v/>
      </c>
      <c r="N1038" t="str">
        <f t="shared" si="122"/>
        <v/>
      </c>
    </row>
    <row r="1039" spans="1:14" ht="15" thickBot="1">
      <c r="A1039" s="69">
        <v>46288</v>
      </c>
      <c r="B1039" s="70" t="s">
        <v>670</v>
      </c>
      <c r="C1039" s="72"/>
      <c r="D1039" s="73"/>
      <c r="E1039" s="70">
        <v>26.57</v>
      </c>
      <c r="F1039" s="72">
        <v>25883.41</v>
      </c>
      <c r="G1039" s="74">
        <f>G1038+F1039</f>
        <v>9090689.3660000004</v>
      </c>
      <c r="H1039" s="75" t="s">
        <v>13</v>
      </c>
      <c r="I1039" s="522" t="s">
        <v>127</v>
      </c>
      <c r="J1039" s="519" t="s">
        <v>738</v>
      </c>
      <c r="K1039" s="523" t="s">
        <v>127</v>
      </c>
      <c r="L1039" s="15"/>
      <c r="M1039" t="str">
        <f t="shared" si="118"/>
        <v/>
      </c>
      <c r="N1039" t="str">
        <f t="shared" si="122"/>
        <v/>
      </c>
    </row>
    <row r="1040" spans="1:14" ht="15" thickBot="1">
      <c r="A1040" s="281">
        <v>46288</v>
      </c>
      <c r="B1040" s="492" t="s">
        <v>309</v>
      </c>
      <c r="C1040" s="246">
        <v>0.49</v>
      </c>
      <c r="D1040" s="244">
        <v>474.51</v>
      </c>
      <c r="E1040" s="150"/>
      <c r="F1040" s="150"/>
      <c r="G1040" s="153">
        <f t="shared" ref="G1040:G1045" si="123">G1039-D1040</f>
        <v>9090214.8560000006</v>
      </c>
      <c r="H1040" s="496" t="s">
        <v>25</v>
      </c>
      <c r="I1040" s="522" t="s">
        <v>116</v>
      </c>
      <c r="J1040" s="519" t="s">
        <v>117</v>
      </c>
      <c r="K1040" s="14"/>
      <c r="L1040" s="412" t="s">
        <v>437</v>
      </c>
      <c r="M1040" t="str">
        <f t="shared" si="118"/>
        <v/>
      </c>
      <c r="N1040" t="str">
        <f t="shared" si="122"/>
        <v/>
      </c>
    </row>
    <row r="1041" spans="1:14" ht="15" thickBot="1">
      <c r="A1041" s="281">
        <v>46288</v>
      </c>
      <c r="B1041" s="492" t="s">
        <v>309</v>
      </c>
      <c r="C1041" s="246">
        <v>0.4</v>
      </c>
      <c r="D1041" s="244">
        <v>388.25</v>
      </c>
      <c r="E1041" s="150"/>
      <c r="F1041" s="150"/>
      <c r="G1041" s="153">
        <f t="shared" si="123"/>
        <v>9089826.6060000006</v>
      </c>
      <c r="H1041" s="496" t="s">
        <v>25</v>
      </c>
      <c r="I1041" s="522" t="s">
        <v>116</v>
      </c>
      <c r="J1041" s="519" t="s">
        <v>117</v>
      </c>
      <c r="K1041" s="14"/>
      <c r="L1041" s="412" t="s">
        <v>437</v>
      </c>
      <c r="M1041" t="str">
        <f t="shared" si="118"/>
        <v/>
      </c>
      <c r="N1041" t="str">
        <f t="shared" si="122"/>
        <v/>
      </c>
    </row>
    <row r="1042" spans="1:14" ht="15" thickBot="1">
      <c r="A1042" s="281">
        <v>46288</v>
      </c>
      <c r="B1042" s="503" t="s">
        <v>704</v>
      </c>
      <c r="C1042" s="246">
        <v>8.15</v>
      </c>
      <c r="D1042" s="244">
        <v>7943.46</v>
      </c>
      <c r="E1042" s="150"/>
      <c r="F1042" s="150"/>
      <c r="G1042" s="153">
        <f t="shared" si="123"/>
        <v>9081883.1459999997</v>
      </c>
      <c r="H1042" s="496" t="s">
        <v>10</v>
      </c>
      <c r="I1042" s="522" t="s">
        <v>116</v>
      </c>
      <c r="J1042" s="519" t="s">
        <v>700</v>
      </c>
      <c r="K1042" s="14"/>
      <c r="L1042" s="412" t="s">
        <v>437</v>
      </c>
      <c r="M1042" t="str">
        <f t="shared" si="118"/>
        <v/>
      </c>
      <c r="N1042" t="str">
        <f t="shared" si="122"/>
        <v/>
      </c>
    </row>
    <row r="1043" spans="1:14" ht="15" thickBot="1">
      <c r="A1043" s="281">
        <v>46288</v>
      </c>
      <c r="B1043" s="492" t="s">
        <v>31</v>
      </c>
      <c r="C1043" s="246">
        <v>0.02</v>
      </c>
      <c r="D1043" s="244">
        <v>23.83</v>
      </c>
      <c r="E1043" s="150"/>
      <c r="F1043" s="150"/>
      <c r="G1043" s="153">
        <f t="shared" si="123"/>
        <v>9081859.3159999996</v>
      </c>
      <c r="H1043" s="496" t="s">
        <v>25</v>
      </c>
      <c r="I1043" s="522" t="s">
        <v>116</v>
      </c>
      <c r="J1043" s="519" t="s">
        <v>25</v>
      </c>
      <c r="K1043" s="14"/>
      <c r="L1043" s="412" t="s">
        <v>437</v>
      </c>
      <c r="M1043" t="str">
        <f t="shared" si="118"/>
        <v/>
      </c>
      <c r="N1043" t="str">
        <f t="shared" si="122"/>
        <v/>
      </c>
    </row>
    <row r="1044" spans="1:14" ht="29.5" thickBot="1">
      <c r="A1044" s="281">
        <v>46288</v>
      </c>
      <c r="B1044" s="503" t="s">
        <v>705</v>
      </c>
      <c r="C1044" s="246">
        <v>10.87</v>
      </c>
      <c r="D1044" s="244">
        <v>10591.03</v>
      </c>
      <c r="E1044" s="150"/>
      <c r="F1044" s="150"/>
      <c r="G1044" s="153">
        <f t="shared" si="123"/>
        <v>9071268.2860000003</v>
      </c>
      <c r="H1044" s="496" t="s">
        <v>10</v>
      </c>
      <c r="I1044" s="522" t="s">
        <v>119</v>
      </c>
      <c r="J1044" s="519" t="s">
        <v>443</v>
      </c>
      <c r="K1044" s="14"/>
      <c r="L1044" s="412" t="s">
        <v>437</v>
      </c>
      <c r="M1044" t="str">
        <f t="shared" ref="M1044:M1107" si="124">IF(E1044="","",IF(E1044=F1044,"OJOOO",""))</f>
        <v/>
      </c>
      <c r="N1044" t="str">
        <f t="shared" si="122"/>
        <v/>
      </c>
    </row>
    <row r="1045" spans="1:14" ht="15" thickBot="1">
      <c r="A1045" s="281">
        <v>46288</v>
      </c>
      <c r="B1045" s="492" t="s">
        <v>31</v>
      </c>
      <c r="C1045" s="246">
        <v>0.03</v>
      </c>
      <c r="D1045" s="244">
        <v>31.77</v>
      </c>
      <c r="E1045" s="150"/>
      <c r="F1045" s="150"/>
      <c r="G1045" s="153">
        <f t="shared" si="123"/>
        <v>9071236.5160000008</v>
      </c>
      <c r="H1045" s="496" t="s">
        <v>25</v>
      </c>
      <c r="I1045" s="522" t="s">
        <v>116</v>
      </c>
      <c r="J1045" s="519" t="s">
        <v>25</v>
      </c>
      <c r="K1045" s="14"/>
      <c r="L1045" s="412" t="s">
        <v>437</v>
      </c>
      <c r="M1045" t="str">
        <f t="shared" si="124"/>
        <v/>
      </c>
      <c r="N1045" t="str">
        <f t="shared" si="122"/>
        <v/>
      </c>
    </row>
    <row r="1046" spans="1:14" ht="15" thickBot="1">
      <c r="A1046" s="69">
        <v>46289</v>
      </c>
      <c r="B1046" s="70" t="s">
        <v>674</v>
      </c>
      <c r="C1046" s="72"/>
      <c r="D1046" s="73"/>
      <c r="E1046" s="70">
        <v>26.53</v>
      </c>
      <c r="F1046" s="72">
        <v>25839.78</v>
      </c>
      <c r="G1046" s="74">
        <f>G1045+F1046</f>
        <v>9097076.2960000001</v>
      </c>
      <c r="H1046" s="75" t="s">
        <v>13</v>
      </c>
      <c r="I1046" s="522" t="s">
        <v>127</v>
      </c>
      <c r="J1046" s="519" t="s">
        <v>738</v>
      </c>
      <c r="K1046" s="523" t="s">
        <v>127</v>
      </c>
      <c r="L1046" s="15"/>
      <c r="M1046" t="str">
        <f t="shared" si="124"/>
        <v/>
      </c>
      <c r="N1046" t="str">
        <f t="shared" si="122"/>
        <v/>
      </c>
    </row>
    <row r="1047" spans="1:14" ht="15" thickBot="1">
      <c r="A1047" s="69">
        <v>46289</v>
      </c>
      <c r="B1047" s="70" t="s">
        <v>706</v>
      </c>
      <c r="C1047" s="72"/>
      <c r="D1047" s="73"/>
      <c r="E1047" s="70">
        <v>26.53</v>
      </c>
      <c r="F1047" s="72">
        <v>25839.43</v>
      </c>
      <c r="G1047" s="74">
        <f t="shared" ref="G1047:G1049" si="125">G1046+F1047</f>
        <v>9122915.7259999998</v>
      </c>
      <c r="H1047" s="75" t="s">
        <v>13</v>
      </c>
      <c r="I1047" s="522" t="s">
        <v>127</v>
      </c>
      <c r="J1047" s="519" t="s">
        <v>738</v>
      </c>
      <c r="K1047" s="523" t="s">
        <v>127</v>
      </c>
      <c r="L1047" s="15"/>
      <c r="M1047" t="str">
        <f t="shared" si="124"/>
        <v/>
      </c>
      <c r="N1047" t="str">
        <f t="shared" si="122"/>
        <v/>
      </c>
    </row>
    <row r="1048" spans="1:14" ht="15" thickBot="1">
      <c r="A1048" s="69">
        <v>46289</v>
      </c>
      <c r="B1048" s="70" t="s">
        <v>707</v>
      </c>
      <c r="C1048" s="72"/>
      <c r="D1048" s="73"/>
      <c r="E1048" s="70">
        <v>10.36</v>
      </c>
      <c r="F1048" s="72">
        <v>10087.219999999999</v>
      </c>
      <c r="G1048" s="74">
        <f t="shared" si="125"/>
        <v>9133002.9460000005</v>
      </c>
      <c r="H1048" s="75" t="s">
        <v>13</v>
      </c>
      <c r="I1048" s="522" t="s">
        <v>127</v>
      </c>
      <c r="J1048" s="519" t="s">
        <v>741</v>
      </c>
      <c r="K1048" s="523" t="s">
        <v>127</v>
      </c>
      <c r="L1048" s="15"/>
      <c r="M1048" t="str">
        <f t="shared" si="124"/>
        <v/>
      </c>
      <c r="N1048" t="str">
        <f t="shared" si="122"/>
        <v/>
      </c>
    </row>
    <row r="1049" spans="1:14" ht="15" thickBot="1">
      <c r="A1049" s="69">
        <v>46289</v>
      </c>
      <c r="B1049" s="70" t="s">
        <v>708</v>
      </c>
      <c r="C1049" s="72"/>
      <c r="D1049" s="73"/>
      <c r="E1049" s="70">
        <v>3.19</v>
      </c>
      <c r="F1049" s="72">
        <v>3111.49</v>
      </c>
      <c r="G1049" s="74">
        <f t="shared" si="125"/>
        <v>9136114.4360000007</v>
      </c>
      <c r="H1049" s="75" t="s">
        <v>13</v>
      </c>
      <c r="I1049" s="522" t="s">
        <v>127</v>
      </c>
      <c r="J1049" s="519" t="s">
        <v>741</v>
      </c>
      <c r="K1049" s="523" t="s">
        <v>127</v>
      </c>
      <c r="L1049" s="15"/>
      <c r="M1049" t="str">
        <f t="shared" si="124"/>
        <v/>
      </c>
      <c r="N1049" t="str">
        <f t="shared" si="122"/>
        <v/>
      </c>
    </row>
    <row r="1050" spans="1:14" ht="15" thickBot="1">
      <c r="A1050" s="281">
        <v>46289</v>
      </c>
      <c r="B1050" s="492" t="s">
        <v>309</v>
      </c>
      <c r="C1050" s="246">
        <v>0.4</v>
      </c>
      <c r="D1050" s="244">
        <v>387.59</v>
      </c>
      <c r="E1050" s="150"/>
      <c r="F1050" s="150"/>
      <c r="G1050" s="153">
        <f>G1049-D1050</f>
        <v>9135726.8460000008</v>
      </c>
      <c r="H1050" s="496" t="s">
        <v>25</v>
      </c>
      <c r="I1050" s="522" t="s">
        <v>116</v>
      </c>
      <c r="J1050" s="519" t="s">
        <v>25</v>
      </c>
      <c r="K1050" s="14"/>
      <c r="L1050" s="412" t="s">
        <v>437</v>
      </c>
      <c r="M1050" t="str">
        <f t="shared" si="124"/>
        <v/>
      </c>
      <c r="N1050" t="str">
        <f t="shared" si="122"/>
        <v/>
      </c>
    </row>
    <row r="1051" spans="1:14" ht="15" thickBot="1">
      <c r="A1051" s="281">
        <v>46289</v>
      </c>
      <c r="B1051" s="492" t="s">
        <v>309</v>
      </c>
      <c r="C1051" s="246">
        <v>0.4</v>
      </c>
      <c r="D1051" s="244">
        <v>387.59</v>
      </c>
      <c r="E1051" s="150"/>
      <c r="F1051" s="150"/>
      <c r="G1051" s="153">
        <f t="shared" ref="G1051:G1064" si="126">G1050-D1051</f>
        <v>9135339.256000001</v>
      </c>
      <c r="H1051" s="496" t="s">
        <v>25</v>
      </c>
      <c r="I1051" s="522" t="s">
        <v>116</v>
      </c>
      <c r="J1051" s="519" t="s">
        <v>25</v>
      </c>
      <c r="K1051" s="14"/>
      <c r="L1051" s="412" t="s">
        <v>437</v>
      </c>
      <c r="M1051" t="str">
        <f t="shared" si="124"/>
        <v/>
      </c>
      <c r="N1051" t="str">
        <f t="shared" si="122"/>
        <v/>
      </c>
    </row>
    <row r="1052" spans="1:14" ht="15" thickBot="1">
      <c r="A1052" s="281">
        <v>46289</v>
      </c>
      <c r="B1052" s="492" t="s">
        <v>309</v>
      </c>
      <c r="C1052" s="246">
        <v>0.16</v>
      </c>
      <c r="D1052" s="244">
        <v>151.30000000000001</v>
      </c>
      <c r="E1052" s="150"/>
      <c r="F1052" s="150"/>
      <c r="G1052" s="153">
        <f t="shared" si="126"/>
        <v>9135187.9560000002</v>
      </c>
      <c r="H1052" s="496" t="s">
        <v>25</v>
      </c>
      <c r="I1052" s="522" t="s">
        <v>116</v>
      </c>
      <c r="J1052" s="519" t="s">
        <v>25</v>
      </c>
      <c r="K1052" s="14"/>
      <c r="L1052" s="412" t="s">
        <v>437</v>
      </c>
      <c r="M1052" t="str">
        <f t="shared" si="124"/>
        <v/>
      </c>
      <c r="N1052" t="str">
        <f t="shared" si="122"/>
        <v/>
      </c>
    </row>
    <row r="1053" spans="1:14" ht="15" thickBot="1">
      <c r="A1053" s="281">
        <v>46289</v>
      </c>
      <c r="B1053" s="492" t="s">
        <v>309</v>
      </c>
      <c r="C1053" s="246">
        <v>0.05</v>
      </c>
      <c r="D1053" s="244">
        <v>46.67</v>
      </c>
      <c r="E1053" s="150"/>
      <c r="F1053" s="150"/>
      <c r="G1053" s="153">
        <f t="shared" si="126"/>
        <v>9135141.2860000003</v>
      </c>
      <c r="H1053" s="496" t="s">
        <v>25</v>
      </c>
      <c r="I1053" s="522" t="s">
        <v>116</v>
      </c>
      <c r="J1053" s="519" t="s">
        <v>25</v>
      </c>
      <c r="K1053" s="14"/>
      <c r="L1053" s="412" t="s">
        <v>437</v>
      </c>
      <c r="M1053" t="str">
        <f t="shared" si="124"/>
        <v/>
      </c>
      <c r="N1053" t="str">
        <f t="shared" si="122"/>
        <v/>
      </c>
    </row>
    <row r="1054" spans="1:14" ht="15" thickBot="1">
      <c r="A1054" s="281">
        <v>46289</v>
      </c>
      <c r="B1054" s="495" t="s">
        <v>709</v>
      </c>
      <c r="C1054" s="246">
        <v>30.68</v>
      </c>
      <c r="D1054" s="244">
        <v>29889.02</v>
      </c>
      <c r="E1054" s="150"/>
      <c r="F1054" s="150"/>
      <c r="G1054" s="153">
        <f t="shared" si="126"/>
        <v>9105252.2660000008</v>
      </c>
      <c r="H1054" s="496" t="s">
        <v>13</v>
      </c>
      <c r="I1054" s="522" t="s">
        <v>116</v>
      </c>
      <c r="J1054" s="519" t="s">
        <v>117</v>
      </c>
      <c r="K1054" s="14"/>
      <c r="L1054" s="412" t="s">
        <v>437</v>
      </c>
      <c r="M1054" t="str">
        <f t="shared" si="124"/>
        <v/>
      </c>
      <c r="N1054" t="str">
        <f t="shared" si="122"/>
        <v/>
      </c>
    </row>
    <row r="1055" spans="1:14" ht="15" thickBot="1">
      <c r="A1055" s="281">
        <v>46289</v>
      </c>
      <c r="B1055" s="504" t="s">
        <v>710</v>
      </c>
      <c r="C1055" s="246">
        <v>26.32</v>
      </c>
      <c r="D1055" s="244">
        <v>25633.91</v>
      </c>
      <c r="E1055" s="150"/>
      <c r="F1055" s="150"/>
      <c r="G1055" s="153">
        <f t="shared" si="126"/>
        <v>9079618.3560000006</v>
      </c>
      <c r="H1055" s="505" t="s">
        <v>10</v>
      </c>
      <c r="I1055" s="522" t="s">
        <v>119</v>
      </c>
      <c r="J1055" s="519" t="s">
        <v>443</v>
      </c>
      <c r="K1055" s="14"/>
      <c r="L1055" s="412" t="s">
        <v>437</v>
      </c>
      <c r="M1055" t="str">
        <f t="shared" si="124"/>
        <v/>
      </c>
      <c r="N1055" t="str">
        <f t="shared" si="122"/>
        <v/>
      </c>
    </row>
    <row r="1056" spans="1:14" ht="15" thickBot="1">
      <c r="A1056" s="281">
        <v>46289</v>
      </c>
      <c r="B1056" s="504" t="s">
        <v>31</v>
      </c>
      <c r="C1056" s="246">
        <v>0.08</v>
      </c>
      <c r="D1056" s="244">
        <v>76.900000000000006</v>
      </c>
      <c r="E1056" s="150"/>
      <c r="F1056" s="150"/>
      <c r="G1056" s="153">
        <f t="shared" si="126"/>
        <v>9079541.4560000002</v>
      </c>
      <c r="H1056" s="505" t="s">
        <v>25</v>
      </c>
      <c r="I1056" s="522" t="s">
        <v>116</v>
      </c>
      <c r="J1056" s="519" t="s">
        <v>25</v>
      </c>
      <c r="K1056" s="14"/>
      <c r="L1056" s="412" t="s">
        <v>437</v>
      </c>
      <c r="M1056" t="str">
        <f t="shared" si="124"/>
        <v/>
      </c>
      <c r="N1056" t="str">
        <f t="shared" si="122"/>
        <v/>
      </c>
    </row>
    <row r="1057" spans="1:14" ht="15" thickBot="1">
      <c r="A1057" s="281">
        <v>46289</v>
      </c>
      <c r="B1057" s="506" t="s">
        <v>711</v>
      </c>
      <c r="C1057" s="246">
        <v>2629.96</v>
      </c>
      <c r="D1057" s="244">
        <v>2563391.1</v>
      </c>
      <c r="E1057" s="150"/>
      <c r="F1057" s="150"/>
      <c r="G1057" s="153">
        <f t="shared" si="126"/>
        <v>6516150.3560000006</v>
      </c>
      <c r="H1057" s="507" t="s">
        <v>10</v>
      </c>
      <c r="I1057" s="522" t="s">
        <v>119</v>
      </c>
      <c r="J1057" s="519" t="s">
        <v>443</v>
      </c>
      <c r="K1057" s="14"/>
      <c r="L1057" s="412" t="s">
        <v>437</v>
      </c>
      <c r="M1057" t="str">
        <f t="shared" si="124"/>
        <v/>
      </c>
      <c r="N1057" t="str">
        <f t="shared" si="122"/>
        <v/>
      </c>
    </row>
    <row r="1058" spans="1:14" ht="15" thickBot="1">
      <c r="A1058" s="281">
        <v>46289</v>
      </c>
      <c r="B1058" s="504" t="s">
        <v>31</v>
      </c>
      <c r="C1058" s="246">
        <v>7.9</v>
      </c>
      <c r="D1058" s="244">
        <v>7690.17</v>
      </c>
      <c r="E1058" s="150"/>
      <c r="F1058" s="150"/>
      <c r="G1058" s="153">
        <f t="shared" si="126"/>
        <v>6508460.1860000007</v>
      </c>
      <c r="H1058" s="507" t="s">
        <v>25</v>
      </c>
      <c r="I1058" s="522" t="s">
        <v>116</v>
      </c>
      <c r="J1058" s="519" t="s">
        <v>25</v>
      </c>
      <c r="K1058" s="14"/>
      <c r="L1058" s="412" t="s">
        <v>437</v>
      </c>
      <c r="M1058" t="str">
        <f t="shared" si="124"/>
        <v/>
      </c>
      <c r="N1058" t="str">
        <f t="shared" si="122"/>
        <v/>
      </c>
    </row>
    <row r="1059" spans="1:14" ht="15" thickBot="1">
      <c r="A1059" s="281">
        <v>46289</v>
      </c>
      <c r="B1059" s="506" t="s">
        <v>712</v>
      </c>
      <c r="C1059" s="246">
        <v>809.78</v>
      </c>
      <c r="D1059" s="244">
        <v>788670</v>
      </c>
      <c r="E1059" s="150"/>
      <c r="F1059" s="150"/>
      <c r="G1059" s="153">
        <f t="shared" si="126"/>
        <v>5719790.1860000007</v>
      </c>
      <c r="H1059" s="507" t="s">
        <v>10</v>
      </c>
      <c r="I1059" s="522" t="s">
        <v>119</v>
      </c>
      <c r="J1059" s="519" t="s">
        <v>120</v>
      </c>
      <c r="K1059" s="14"/>
      <c r="L1059" s="412" t="s">
        <v>437</v>
      </c>
      <c r="M1059" t="str">
        <f t="shared" si="124"/>
        <v/>
      </c>
      <c r="N1059" t="str">
        <f t="shared" si="122"/>
        <v/>
      </c>
    </row>
    <row r="1060" spans="1:14" ht="15" thickBot="1">
      <c r="A1060" s="281">
        <v>46289</v>
      </c>
      <c r="B1060" s="504" t="s">
        <v>31</v>
      </c>
      <c r="C1060" s="246">
        <v>2.4300000000000002</v>
      </c>
      <c r="D1060" s="244">
        <v>2366.0100000000002</v>
      </c>
      <c r="E1060" s="150"/>
      <c r="F1060" s="150"/>
      <c r="G1060" s="153">
        <f t="shared" si="126"/>
        <v>5717424.1760000009</v>
      </c>
      <c r="H1060" s="507" t="s">
        <v>25</v>
      </c>
      <c r="I1060" s="522" t="s">
        <v>116</v>
      </c>
      <c r="J1060" s="519" t="s">
        <v>25</v>
      </c>
      <c r="K1060" s="14"/>
      <c r="L1060" s="412" t="s">
        <v>437</v>
      </c>
      <c r="M1060" t="str">
        <f t="shared" si="124"/>
        <v/>
      </c>
      <c r="N1060" t="str">
        <f t="shared" si="122"/>
        <v/>
      </c>
    </row>
    <row r="1061" spans="1:14" ht="29.5" thickBot="1">
      <c r="A1061" s="281">
        <v>46289</v>
      </c>
      <c r="B1061" s="508" t="s">
        <v>713</v>
      </c>
      <c r="C1061" s="246">
        <v>1666.71</v>
      </c>
      <c r="D1061" s="244">
        <v>1623481.03</v>
      </c>
      <c r="E1061" s="150"/>
      <c r="F1061" s="150"/>
      <c r="G1061" s="153">
        <f t="shared" si="126"/>
        <v>4093943.1460000006</v>
      </c>
      <c r="H1061" s="507" t="s">
        <v>10</v>
      </c>
      <c r="I1061" s="522" t="s">
        <v>119</v>
      </c>
      <c r="J1061" s="519" t="s">
        <v>746</v>
      </c>
      <c r="K1061" s="14"/>
      <c r="L1061" s="412" t="s">
        <v>437</v>
      </c>
      <c r="M1061" t="str">
        <f t="shared" si="124"/>
        <v/>
      </c>
      <c r="N1061" t="str">
        <f t="shared" si="122"/>
        <v/>
      </c>
    </row>
    <row r="1062" spans="1:14" ht="15" thickBot="1">
      <c r="A1062" s="281">
        <v>46289</v>
      </c>
      <c r="B1062" s="504" t="s">
        <v>31</v>
      </c>
      <c r="C1062" s="246">
        <v>5</v>
      </c>
      <c r="D1062" s="244">
        <v>4870.4399999999996</v>
      </c>
      <c r="E1062" s="150"/>
      <c r="F1062" s="150"/>
      <c r="G1062" s="153">
        <f t="shared" si="126"/>
        <v>4089072.7060000007</v>
      </c>
      <c r="H1062" s="507" t="s">
        <v>25</v>
      </c>
      <c r="I1062" s="522" t="s">
        <v>116</v>
      </c>
      <c r="J1062" s="519" t="s">
        <v>25</v>
      </c>
      <c r="K1062" s="14"/>
      <c r="L1062" s="412" t="s">
        <v>437</v>
      </c>
      <c r="M1062" t="str">
        <f t="shared" si="124"/>
        <v/>
      </c>
      <c r="N1062" t="str">
        <f t="shared" si="122"/>
        <v/>
      </c>
    </row>
    <row r="1063" spans="1:14" ht="29.5" thickBot="1">
      <c r="A1063" s="281">
        <v>46289</v>
      </c>
      <c r="B1063" s="508" t="s">
        <v>714</v>
      </c>
      <c r="C1063" s="246">
        <v>824.7</v>
      </c>
      <c r="D1063" s="244">
        <v>803195.88</v>
      </c>
      <c r="E1063" s="150"/>
      <c r="F1063" s="150"/>
      <c r="G1063" s="153">
        <f t="shared" si="126"/>
        <v>3285876.8260000008</v>
      </c>
      <c r="H1063" s="507" t="s">
        <v>10</v>
      </c>
      <c r="I1063" s="522" t="s">
        <v>119</v>
      </c>
      <c r="J1063" s="519" t="s">
        <v>128</v>
      </c>
      <c r="K1063" s="14"/>
      <c r="L1063" s="412" t="s">
        <v>437</v>
      </c>
      <c r="M1063" t="str">
        <f t="shared" si="124"/>
        <v/>
      </c>
      <c r="N1063" t="str">
        <f t="shared" si="122"/>
        <v/>
      </c>
    </row>
    <row r="1064" spans="1:14" ht="15" thickBot="1">
      <c r="A1064" s="281">
        <v>46289</v>
      </c>
      <c r="B1064" s="506" t="s">
        <v>31</v>
      </c>
      <c r="C1064" s="246">
        <v>2.4700000000000002</v>
      </c>
      <c r="D1064" s="244">
        <v>2409.58</v>
      </c>
      <c r="E1064" s="150"/>
      <c r="F1064" s="150"/>
      <c r="G1064" s="153">
        <f t="shared" si="126"/>
        <v>3283467.2460000007</v>
      </c>
      <c r="H1064" s="507" t="s">
        <v>25</v>
      </c>
      <c r="I1064" s="522" t="s">
        <v>116</v>
      </c>
      <c r="J1064" s="519" t="s">
        <v>25</v>
      </c>
      <c r="K1064" s="14"/>
      <c r="L1064" s="412" t="s">
        <v>437</v>
      </c>
      <c r="M1064" t="str">
        <f t="shared" si="124"/>
        <v/>
      </c>
      <c r="N1064" t="str">
        <f t="shared" si="122"/>
        <v/>
      </c>
    </row>
    <row r="1065" spans="1:14" ht="15" thickBot="1">
      <c r="A1065" s="69">
        <v>46290</v>
      </c>
      <c r="B1065" s="70" t="s">
        <v>678</v>
      </c>
      <c r="C1065" s="72"/>
      <c r="D1065" s="73"/>
      <c r="E1065" s="70"/>
      <c r="F1065" s="72">
        <v>25774.51</v>
      </c>
      <c r="G1065" s="74">
        <f>G1064+F1065</f>
        <v>3309241.7560000005</v>
      </c>
      <c r="H1065" s="75" t="s">
        <v>13</v>
      </c>
      <c r="I1065" s="522" t="s">
        <v>127</v>
      </c>
      <c r="J1065" s="519" t="s">
        <v>738</v>
      </c>
      <c r="K1065" s="523" t="s">
        <v>127</v>
      </c>
      <c r="L1065" s="15"/>
      <c r="M1065" t="str">
        <f t="shared" si="124"/>
        <v/>
      </c>
      <c r="N1065" t="str">
        <f t="shared" si="122"/>
        <v/>
      </c>
    </row>
    <row r="1066" spans="1:14" ht="15" thickBot="1">
      <c r="A1066" s="69">
        <v>46290</v>
      </c>
      <c r="B1066" s="70" t="s">
        <v>715</v>
      </c>
      <c r="C1066" s="72"/>
      <c r="D1066" s="73"/>
      <c r="E1066" s="70"/>
      <c r="F1066" s="72">
        <v>20047.82</v>
      </c>
      <c r="G1066" s="74">
        <f>G1065+F1066</f>
        <v>3329289.5760000004</v>
      </c>
      <c r="H1066" s="75" t="s">
        <v>13</v>
      </c>
      <c r="I1066" s="522" t="s">
        <v>127</v>
      </c>
      <c r="J1066" s="519" t="s">
        <v>738</v>
      </c>
      <c r="K1066" s="523" t="s">
        <v>127</v>
      </c>
      <c r="L1066" s="15"/>
      <c r="M1066" t="str">
        <f t="shared" si="124"/>
        <v/>
      </c>
      <c r="N1066" t="str">
        <f t="shared" si="122"/>
        <v/>
      </c>
    </row>
    <row r="1067" spans="1:14" ht="15" thickBot="1">
      <c r="A1067" s="281">
        <v>46290</v>
      </c>
      <c r="B1067" s="492" t="s">
        <v>309</v>
      </c>
      <c r="C1067" s="246">
        <v>0.4</v>
      </c>
      <c r="D1067" s="244">
        <v>386.61</v>
      </c>
      <c r="E1067" s="150"/>
      <c r="F1067" s="150"/>
      <c r="G1067" s="153">
        <f>G1066-D1067</f>
        <v>3328902.9660000005</v>
      </c>
      <c r="H1067" s="507" t="s">
        <v>25</v>
      </c>
      <c r="I1067" s="522" t="s">
        <v>116</v>
      </c>
      <c r="J1067" s="519" t="s">
        <v>25</v>
      </c>
      <c r="K1067" s="14"/>
      <c r="L1067" s="412" t="s">
        <v>437</v>
      </c>
      <c r="M1067" t="str">
        <f t="shared" si="124"/>
        <v/>
      </c>
      <c r="N1067" t="str">
        <f t="shared" si="122"/>
        <v/>
      </c>
    </row>
    <row r="1068" spans="1:14" ht="15" thickBot="1">
      <c r="A1068" s="281">
        <v>46290</v>
      </c>
      <c r="B1068" s="492" t="s">
        <v>309</v>
      </c>
      <c r="C1068" s="246">
        <v>0.31</v>
      </c>
      <c r="D1068" s="244">
        <v>300.70999999999998</v>
      </c>
      <c r="E1068" s="150"/>
      <c r="F1068" s="150"/>
      <c r="G1068" s="153">
        <f>G1067-D1068</f>
        <v>3328602.2560000005</v>
      </c>
      <c r="H1068" s="507" t="s">
        <v>25</v>
      </c>
      <c r="I1068" s="522" t="s">
        <v>116</v>
      </c>
      <c r="J1068" s="519" t="s">
        <v>25</v>
      </c>
      <c r="K1068" s="14"/>
      <c r="L1068" s="412" t="s">
        <v>437</v>
      </c>
      <c r="M1068" t="str">
        <f t="shared" si="124"/>
        <v/>
      </c>
      <c r="N1068" t="str">
        <f t="shared" si="122"/>
        <v/>
      </c>
    </row>
    <row r="1069" spans="1:14" ht="15" thickBot="1">
      <c r="A1069" s="281">
        <v>46290</v>
      </c>
      <c r="B1069" s="506" t="s">
        <v>588</v>
      </c>
      <c r="C1069" s="246">
        <v>18.010000000000002</v>
      </c>
      <c r="D1069" s="244">
        <v>17541.02</v>
      </c>
      <c r="E1069" s="150"/>
      <c r="F1069" s="150"/>
      <c r="G1069" s="153">
        <f>G1068-D1069</f>
        <v>3311061.2360000005</v>
      </c>
      <c r="H1069" s="507" t="s">
        <v>13</v>
      </c>
      <c r="I1069" s="522" t="s">
        <v>116</v>
      </c>
      <c r="J1069" s="519" t="s">
        <v>20</v>
      </c>
      <c r="K1069" s="14"/>
      <c r="L1069" s="412" t="s">
        <v>437</v>
      </c>
      <c r="M1069" t="str">
        <f t="shared" si="124"/>
        <v/>
      </c>
      <c r="N1069" t="str">
        <f t="shared" si="122"/>
        <v/>
      </c>
    </row>
    <row r="1070" spans="1:14" ht="15" thickBot="1">
      <c r="A1070" s="509">
        <v>46290</v>
      </c>
      <c r="B1070" s="506" t="s">
        <v>716</v>
      </c>
      <c r="C1070" s="246">
        <v>53.42</v>
      </c>
      <c r="D1070" s="244">
        <v>52024.07</v>
      </c>
      <c r="E1070" s="150"/>
      <c r="F1070" s="150"/>
      <c r="G1070" s="153">
        <f>G1069-D1070</f>
        <v>3259037.1660000007</v>
      </c>
      <c r="H1070" s="507" t="s">
        <v>13</v>
      </c>
      <c r="I1070" s="522" t="s">
        <v>116</v>
      </c>
      <c r="J1070" s="519" t="s">
        <v>20</v>
      </c>
      <c r="K1070" s="14"/>
      <c r="L1070" s="412" t="s">
        <v>437</v>
      </c>
      <c r="M1070" t="str">
        <f t="shared" si="124"/>
        <v/>
      </c>
      <c r="N1070" t="str">
        <f t="shared" si="122"/>
        <v/>
      </c>
    </row>
    <row r="1071" spans="1:14" ht="15" thickBot="1">
      <c r="A1071" s="69">
        <v>46291</v>
      </c>
      <c r="B1071" s="70" t="s">
        <v>717</v>
      </c>
      <c r="C1071" s="72"/>
      <c r="D1071" s="73"/>
      <c r="E1071" s="70">
        <v>32.31</v>
      </c>
      <c r="F1071" s="72">
        <v>31467.97</v>
      </c>
      <c r="G1071" s="74">
        <f>G1070+F1071</f>
        <v>3290505.1360000009</v>
      </c>
      <c r="H1071" s="75" t="s">
        <v>13</v>
      </c>
      <c r="I1071" s="522" t="s">
        <v>127</v>
      </c>
      <c r="J1071" s="519" t="s">
        <v>738</v>
      </c>
      <c r="K1071" s="523" t="s">
        <v>127</v>
      </c>
      <c r="L1071" s="15"/>
      <c r="M1071" t="str">
        <f t="shared" si="124"/>
        <v/>
      </c>
      <c r="N1071" t="str">
        <f t="shared" si="122"/>
        <v/>
      </c>
    </row>
    <row r="1072" spans="1:14" ht="15" thickBot="1">
      <c r="A1072" s="69">
        <v>46291</v>
      </c>
      <c r="B1072" s="70" t="s">
        <v>679</v>
      </c>
      <c r="C1072" s="72"/>
      <c r="D1072" s="73"/>
      <c r="E1072" s="70">
        <v>20.56</v>
      </c>
      <c r="F1072" s="72">
        <v>20021.3</v>
      </c>
      <c r="G1072" s="74">
        <f>G1071+F1072</f>
        <v>3310526.4360000007</v>
      </c>
      <c r="H1072" s="75" t="s">
        <v>13</v>
      </c>
      <c r="I1072" s="522" t="s">
        <v>127</v>
      </c>
      <c r="J1072" s="519" t="s">
        <v>738</v>
      </c>
      <c r="K1072" s="523" t="s">
        <v>127</v>
      </c>
      <c r="L1072" s="15"/>
      <c r="M1072" t="str">
        <f t="shared" si="124"/>
        <v/>
      </c>
      <c r="N1072" t="str">
        <f t="shared" si="122"/>
        <v/>
      </c>
    </row>
    <row r="1073" spans="1:14" ht="15" thickBot="1">
      <c r="A1073" s="281">
        <v>46291</v>
      </c>
      <c r="B1073" s="492" t="s">
        <v>309</v>
      </c>
      <c r="C1073" s="246">
        <v>0.48</v>
      </c>
      <c r="D1073" s="244">
        <v>472.01</v>
      </c>
      <c r="E1073" s="150"/>
      <c r="F1073" s="150"/>
      <c r="G1073" s="153">
        <f>G1072-D1073</f>
        <v>3310054.4260000009</v>
      </c>
      <c r="H1073" s="507" t="s">
        <v>25</v>
      </c>
      <c r="I1073" s="522" t="s">
        <v>116</v>
      </c>
      <c r="J1073" s="519" t="s">
        <v>25</v>
      </c>
      <c r="K1073" s="14"/>
      <c r="L1073" s="412" t="s">
        <v>437</v>
      </c>
      <c r="M1073" t="str">
        <f t="shared" si="124"/>
        <v/>
      </c>
      <c r="N1073" t="str">
        <f t="shared" si="122"/>
        <v/>
      </c>
    </row>
    <row r="1074" spans="1:14" ht="15" thickBot="1">
      <c r="A1074" s="281">
        <v>46291</v>
      </c>
      <c r="B1074" s="492" t="s">
        <v>309</v>
      </c>
      <c r="C1074" s="246">
        <v>0.31</v>
      </c>
      <c r="D1074" s="244">
        <v>300.31</v>
      </c>
      <c r="E1074" s="150"/>
      <c r="F1074" s="150"/>
      <c r="G1074" s="153">
        <f>G1073-D1074</f>
        <v>3309754.1160000009</v>
      </c>
      <c r="H1074" s="507" t="s">
        <v>25</v>
      </c>
      <c r="I1074" s="522" t="s">
        <v>116</v>
      </c>
      <c r="J1074" s="519" t="s">
        <v>25</v>
      </c>
      <c r="K1074" s="14"/>
      <c r="L1074" s="412" t="s">
        <v>437</v>
      </c>
      <c r="M1074" t="str">
        <f t="shared" si="124"/>
        <v/>
      </c>
      <c r="N1074" t="str">
        <f t="shared" si="122"/>
        <v/>
      </c>
    </row>
    <row r="1075" spans="1:14" ht="15" thickBot="1">
      <c r="A1075" s="69">
        <v>46292</v>
      </c>
      <c r="B1075" s="70" t="s">
        <v>682</v>
      </c>
      <c r="C1075" s="72"/>
      <c r="D1075" s="73"/>
      <c r="E1075" s="70">
        <v>32.89</v>
      </c>
      <c r="F1075" s="474">
        <v>32033.7</v>
      </c>
      <c r="G1075" s="74">
        <f>G1074+F1075</f>
        <v>3341787.816000001</v>
      </c>
      <c r="H1075" s="75" t="s">
        <v>13</v>
      </c>
      <c r="I1075" s="522" t="s">
        <v>127</v>
      </c>
      <c r="J1075" s="519" t="s">
        <v>738</v>
      </c>
      <c r="K1075" s="523" t="s">
        <v>127</v>
      </c>
      <c r="L1075" s="15"/>
      <c r="M1075" t="str">
        <f t="shared" si="124"/>
        <v/>
      </c>
      <c r="N1075" t="str">
        <f t="shared" si="122"/>
        <v/>
      </c>
    </row>
    <row r="1076" spans="1:14" ht="15" thickBot="1">
      <c r="A1076" s="281">
        <v>46292</v>
      </c>
      <c r="B1076" s="492" t="s">
        <v>309</v>
      </c>
      <c r="C1076" s="246">
        <v>0.49</v>
      </c>
      <c r="D1076" s="244">
        <v>480.5</v>
      </c>
      <c r="E1076" s="150"/>
      <c r="F1076" s="150"/>
      <c r="G1076" s="153">
        <f>G1075-D1076</f>
        <v>3341307.316000001</v>
      </c>
      <c r="H1076" s="507" t="s">
        <v>25</v>
      </c>
      <c r="I1076" s="522" t="s">
        <v>116</v>
      </c>
      <c r="J1076" s="519" t="s">
        <v>25</v>
      </c>
      <c r="K1076" s="14"/>
      <c r="L1076" s="412" t="s">
        <v>437</v>
      </c>
      <c r="M1076" t="str">
        <f t="shared" si="124"/>
        <v/>
      </c>
      <c r="N1076" t="str">
        <f t="shared" si="122"/>
        <v/>
      </c>
    </row>
    <row r="1077" spans="1:14" ht="15" thickBot="1">
      <c r="A1077" s="69">
        <v>46292</v>
      </c>
      <c r="B1077" s="70" t="s">
        <v>718</v>
      </c>
      <c r="C1077" s="72"/>
      <c r="D1077" s="73"/>
      <c r="E1077" s="70">
        <v>8.81</v>
      </c>
      <c r="F1077" s="72">
        <v>8578.48</v>
      </c>
      <c r="G1077" s="74">
        <f>G1076+F1077</f>
        <v>3349885.796000001</v>
      </c>
      <c r="H1077" s="75" t="s">
        <v>13</v>
      </c>
      <c r="I1077" s="522" t="s">
        <v>127</v>
      </c>
      <c r="J1077" s="519" t="s">
        <v>738</v>
      </c>
      <c r="K1077" s="523" t="s">
        <v>127</v>
      </c>
      <c r="L1077" s="15"/>
      <c r="M1077" t="str">
        <f t="shared" si="124"/>
        <v/>
      </c>
      <c r="N1077" t="str">
        <f t="shared" si="122"/>
        <v/>
      </c>
    </row>
    <row r="1078" spans="1:14" ht="15" thickBot="1">
      <c r="A1078" s="281">
        <v>46292</v>
      </c>
      <c r="B1078" s="492" t="s">
        <v>309</v>
      </c>
      <c r="C1078" s="246">
        <v>0.13</v>
      </c>
      <c r="D1078" s="244">
        <v>128.66999999999999</v>
      </c>
      <c r="E1078" s="150"/>
      <c r="F1078" s="150"/>
      <c r="G1078" s="153">
        <f>G1077-D1078</f>
        <v>3349757.1260000011</v>
      </c>
      <c r="H1078" s="507" t="s">
        <v>25</v>
      </c>
      <c r="I1078" s="522" t="s">
        <v>116</v>
      </c>
      <c r="J1078" s="519" t="s">
        <v>25</v>
      </c>
      <c r="K1078" s="14"/>
      <c r="L1078" s="412" t="s">
        <v>437</v>
      </c>
      <c r="M1078" t="str">
        <f t="shared" si="124"/>
        <v/>
      </c>
      <c r="N1078" t="str">
        <f t="shared" si="122"/>
        <v/>
      </c>
    </row>
    <row r="1079" spans="1:14" ht="15" thickBot="1">
      <c r="A1079" s="69">
        <v>46293</v>
      </c>
      <c r="B1079" s="70" t="s">
        <v>703</v>
      </c>
      <c r="C1079" s="72"/>
      <c r="D1079" s="73"/>
      <c r="E1079" s="70">
        <v>17.68</v>
      </c>
      <c r="F1079" s="72">
        <v>17220.32</v>
      </c>
      <c r="G1079" s="74">
        <f>G1078+F1079</f>
        <v>3366977.4460000009</v>
      </c>
      <c r="H1079" s="75" t="s">
        <v>13</v>
      </c>
      <c r="I1079" s="522" t="s">
        <v>127</v>
      </c>
      <c r="J1079" s="519" t="s">
        <v>738</v>
      </c>
      <c r="K1079" s="523" t="s">
        <v>127</v>
      </c>
      <c r="L1079" s="15"/>
      <c r="M1079" t="str">
        <f t="shared" si="124"/>
        <v/>
      </c>
      <c r="N1079" t="str">
        <f t="shared" si="122"/>
        <v/>
      </c>
    </row>
    <row r="1080" spans="1:14" ht="15" thickBot="1">
      <c r="A1080" s="281">
        <v>46293</v>
      </c>
      <c r="B1080" s="492" t="s">
        <v>309</v>
      </c>
      <c r="C1080" s="246">
        <v>0.27</v>
      </c>
      <c r="D1080" s="244">
        <v>258.3</v>
      </c>
      <c r="E1080" s="150"/>
      <c r="F1080" s="150"/>
      <c r="G1080" s="153">
        <f>G1079-D1080</f>
        <v>3366719.1460000011</v>
      </c>
      <c r="H1080" s="507" t="s">
        <v>25</v>
      </c>
      <c r="I1080" s="522" t="s">
        <v>116</v>
      </c>
      <c r="J1080" s="519" t="s">
        <v>25</v>
      </c>
      <c r="K1080" s="14"/>
      <c r="L1080" s="412" t="s">
        <v>437</v>
      </c>
      <c r="M1080" t="str">
        <f t="shared" si="124"/>
        <v/>
      </c>
      <c r="N1080" t="str">
        <f t="shared" si="122"/>
        <v/>
      </c>
    </row>
    <row r="1081" spans="1:14" ht="15" thickBot="1">
      <c r="A1081" s="69">
        <v>46293</v>
      </c>
      <c r="B1081" s="70" t="s">
        <v>719</v>
      </c>
      <c r="C1081" s="72"/>
      <c r="D1081" s="73"/>
      <c r="E1081" s="70">
        <v>11.8</v>
      </c>
      <c r="F1081" s="72">
        <v>11488.35</v>
      </c>
      <c r="G1081" s="74">
        <f>G1080+F1081</f>
        <v>3378207.4960000012</v>
      </c>
      <c r="H1081" s="75" t="s">
        <v>13</v>
      </c>
      <c r="I1081" s="522" t="s">
        <v>127</v>
      </c>
      <c r="J1081" s="519" t="s">
        <v>738</v>
      </c>
      <c r="K1081" s="523" t="s">
        <v>127</v>
      </c>
      <c r="L1081" s="15"/>
      <c r="M1081" t="str">
        <f t="shared" si="124"/>
        <v/>
      </c>
      <c r="N1081" t="str">
        <f t="shared" si="122"/>
        <v/>
      </c>
    </row>
    <row r="1082" spans="1:14" ht="15" thickBot="1">
      <c r="A1082" s="509">
        <v>46293</v>
      </c>
      <c r="B1082" s="492" t="s">
        <v>309</v>
      </c>
      <c r="C1082" s="246">
        <v>0.18</v>
      </c>
      <c r="D1082" s="244">
        <v>172.32</v>
      </c>
      <c r="E1082" s="150"/>
      <c r="F1082" s="150"/>
      <c r="G1082" s="153">
        <f>G1081-D1082</f>
        <v>3378035.1760000014</v>
      </c>
      <c r="H1082" s="507" t="s">
        <v>25</v>
      </c>
      <c r="I1082" s="522" t="s">
        <v>116</v>
      </c>
      <c r="J1082" s="519" t="s">
        <v>25</v>
      </c>
      <c r="K1082" s="14"/>
      <c r="L1082" s="412" t="s">
        <v>437</v>
      </c>
      <c r="M1082" t="str">
        <f t="shared" si="124"/>
        <v/>
      </c>
      <c r="N1082" t="str">
        <f t="shared" si="122"/>
        <v/>
      </c>
    </row>
    <row r="1083" spans="1:14" ht="29.5" thickBot="1">
      <c r="A1083" s="509">
        <v>46293</v>
      </c>
      <c r="B1083" s="508" t="s">
        <v>720</v>
      </c>
      <c r="C1083" s="246">
        <v>3.52</v>
      </c>
      <c r="D1083" s="244">
        <v>3432</v>
      </c>
      <c r="E1083" s="150"/>
      <c r="F1083" s="150"/>
      <c r="G1083" s="153">
        <f>G1082-D1083</f>
        <v>3374603.1760000014</v>
      </c>
      <c r="H1083" s="507" t="s">
        <v>13</v>
      </c>
      <c r="I1083" s="522" t="s">
        <v>116</v>
      </c>
      <c r="J1083" s="519" t="s">
        <v>117</v>
      </c>
      <c r="K1083" s="14"/>
      <c r="L1083" s="412" t="s">
        <v>437</v>
      </c>
      <c r="M1083" t="str">
        <f t="shared" si="124"/>
        <v/>
      </c>
      <c r="N1083" t="str">
        <f t="shared" si="122"/>
        <v/>
      </c>
    </row>
    <row r="1084" spans="1:14" ht="29.5" thickBot="1">
      <c r="A1084" s="281">
        <v>46293</v>
      </c>
      <c r="B1084" s="508" t="s">
        <v>721</v>
      </c>
      <c r="C1084" s="246">
        <v>24.5</v>
      </c>
      <c r="D1084" s="244">
        <v>23859.15</v>
      </c>
      <c r="E1084" s="150"/>
      <c r="F1084" s="150"/>
      <c r="G1084" s="153">
        <f>G1083-D1084</f>
        <v>3350744.0260000015</v>
      </c>
      <c r="H1084" s="507" t="s">
        <v>13</v>
      </c>
      <c r="I1084" s="522" t="s">
        <v>116</v>
      </c>
      <c r="J1084" s="519" t="s">
        <v>117</v>
      </c>
      <c r="K1084" s="14"/>
      <c r="L1084" s="412" t="s">
        <v>437</v>
      </c>
      <c r="M1084" t="str">
        <f t="shared" si="124"/>
        <v/>
      </c>
      <c r="N1084" t="str">
        <f t="shared" si="122"/>
        <v/>
      </c>
    </row>
    <row r="1085" spans="1:14" ht="29.5" thickBot="1">
      <c r="A1085" s="281">
        <v>46293</v>
      </c>
      <c r="B1085" s="508" t="s">
        <v>722</v>
      </c>
      <c r="C1085" s="246">
        <v>2.2799999999999998</v>
      </c>
      <c r="D1085" s="244">
        <v>2219.65</v>
      </c>
      <c r="E1085" s="150"/>
      <c r="F1085" s="150"/>
      <c r="G1085" s="153">
        <f>G1084-D1085</f>
        <v>3348524.3760000016</v>
      </c>
      <c r="H1085" s="507" t="s">
        <v>13</v>
      </c>
      <c r="I1085" s="522" t="s">
        <v>116</v>
      </c>
      <c r="J1085" s="519" t="s">
        <v>117</v>
      </c>
      <c r="K1085" s="14"/>
      <c r="L1085" s="412" t="s">
        <v>437</v>
      </c>
      <c r="M1085" t="str">
        <f t="shared" si="124"/>
        <v/>
      </c>
      <c r="N1085" t="str">
        <f t="shared" si="122"/>
        <v/>
      </c>
    </row>
    <row r="1086" spans="1:14" ht="15" thickBot="1">
      <c r="A1086" s="69">
        <v>46294</v>
      </c>
      <c r="B1086" s="70" t="s">
        <v>723</v>
      </c>
      <c r="C1086" s="72"/>
      <c r="D1086" s="73"/>
      <c r="E1086" s="381">
        <v>4923.0200000000004</v>
      </c>
      <c r="F1086" s="72">
        <v>4794665.13</v>
      </c>
      <c r="G1086" s="74">
        <f>G1085+F1086</f>
        <v>8143189.506000001</v>
      </c>
      <c r="H1086" s="75" t="s">
        <v>10</v>
      </c>
      <c r="I1086" s="522" t="s">
        <v>127</v>
      </c>
      <c r="J1086" s="519" t="s">
        <v>737</v>
      </c>
      <c r="K1086" s="523" t="s">
        <v>127</v>
      </c>
      <c r="L1086" s="15"/>
      <c r="M1086" t="str">
        <f t="shared" si="124"/>
        <v/>
      </c>
      <c r="N1086" t="str">
        <f t="shared" si="122"/>
        <v/>
      </c>
    </row>
    <row r="1087" spans="1:14" ht="15" thickBot="1">
      <c r="A1087" s="69">
        <v>46294</v>
      </c>
      <c r="B1087" s="70" t="s">
        <v>724</v>
      </c>
      <c r="C1087" s="72"/>
      <c r="D1087" s="73"/>
      <c r="E1087" s="70">
        <v>35.43</v>
      </c>
      <c r="F1087" s="72">
        <v>34503.839999999997</v>
      </c>
      <c r="G1087" s="74">
        <f>G1086+F1087</f>
        <v>8177693.3460000008</v>
      </c>
      <c r="H1087" s="75" t="s">
        <v>13</v>
      </c>
      <c r="I1087" s="522" t="s">
        <v>127</v>
      </c>
      <c r="J1087" s="519" t="s">
        <v>738</v>
      </c>
      <c r="K1087" s="523" t="s">
        <v>127</v>
      </c>
      <c r="L1087" s="15"/>
      <c r="M1087" t="str">
        <f t="shared" si="124"/>
        <v/>
      </c>
      <c r="N1087" t="str">
        <f t="shared" si="122"/>
        <v/>
      </c>
    </row>
    <row r="1088" spans="1:14" ht="15" thickBot="1">
      <c r="A1088" s="69">
        <v>46294</v>
      </c>
      <c r="B1088" s="70" t="s">
        <v>706</v>
      </c>
      <c r="C1088" s="72"/>
      <c r="D1088" s="73"/>
      <c r="E1088" s="70">
        <v>17.690000000000001</v>
      </c>
      <c r="F1088" s="72">
        <v>17232.52</v>
      </c>
      <c r="G1088" s="74">
        <f>G1087+F1088</f>
        <v>8194925.8660000004</v>
      </c>
      <c r="H1088" s="75" t="s">
        <v>13</v>
      </c>
      <c r="I1088" s="522" t="s">
        <v>127</v>
      </c>
      <c r="J1088" s="519" t="s">
        <v>738</v>
      </c>
      <c r="K1088" s="523" t="s">
        <v>127</v>
      </c>
      <c r="L1088" s="15"/>
      <c r="M1088" t="str">
        <f t="shared" si="124"/>
        <v/>
      </c>
      <c r="N1088" t="str">
        <f t="shared" si="122"/>
        <v/>
      </c>
    </row>
    <row r="1089" spans="1:14" ht="15" thickBot="1">
      <c r="A1089" s="69">
        <v>46294</v>
      </c>
      <c r="B1089" s="70" t="s">
        <v>725</v>
      </c>
      <c r="C1089" s="72"/>
      <c r="D1089" s="73"/>
      <c r="E1089" s="70">
        <v>2.9</v>
      </c>
      <c r="F1089" s="72">
        <v>2821.93</v>
      </c>
      <c r="G1089" s="74">
        <f>G1088+F1089</f>
        <v>8197747.7960000001</v>
      </c>
      <c r="H1089" s="75" t="s">
        <v>13</v>
      </c>
      <c r="I1089" s="522" t="s">
        <v>127</v>
      </c>
      <c r="J1089" s="519" t="s">
        <v>741</v>
      </c>
      <c r="K1089" s="523" t="s">
        <v>127</v>
      </c>
      <c r="L1089" s="15"/>
      <c r="M1089" t="str">
        <f t="shared" si="124"/>
        <v/>
      </c>
      <c r="N1089" t="str">
        <f t="shared" si="122"/>
        <v/>
      </c>
    </row>
    <row r="1090" spans="1:14" ht="15" thickBot="1">
      <c r="A1090" s="281">
        <v>46294</v>
      </c>
      <c r="B1090" s="492" t="s">
        <v>309</v>
      </c>
      <c r="C1090" s="246">
        <v>0.53</v>
      </c>
      <c r="D1090" s="244">
        <v>517.54999999999995</v>
      </c>
      <c r="E1090" s="150"/>
      <c r="F1090" s="150"/>
      <c r="G1090" s="153">
        <f>G1089-D1090</f>
        <v>8197230.2460000003</v>
      </c>
      <c r="H1090" s="507" t="s">
        <v>25</v>
      </c>
      <c r="I1090" s="522" t="s">
        <v>116</v>
      </c>
      <c r="J1090" s="519" t="s">
        <v>117</v>
      </c>
      <c r="K1090" s="14"/>
      <c r="L1090" s="412" t="s">
        <v>437</v>
      </c>
      <c r="M1090" t="str">
        <f t="shared" si="124"/>
        <v/>
      </c>
      <c r="N1090" t="str">
        <f t="shared" si="122"/>
        <v/>
      </c>
    </row>
    <row r="1091" spans="1:14" ht="15" thickBot="1">
      <c r="A1091" s="69">
        <v>46294</v>
      </c>
      <c r="B1091" s="70" t="s">
        <v>726</v>
      </c>
      <c r="C1091" s="72"/>
      <c r="D1091" s="73"/>
      <c r="E1091" s="70">
        <v>0.52</v>
      </c>
      <c r="F1091" s="70">
        <v>503.92</v>
      </c>
      <c r="G1091" s="74">
        <f>G1090+F1091</f>
        <v>8197734.1660000002</v>
      </c>
      <c r="H1091" s="75" t="s">
        <v>13</v>
      </c>
      <c r="I1091" s="522" t="s">
        <v>127</v>
      </c>
      <c r="J1091" s="519" t="s">
        <v>741</v>
      </c>
      <c r="K1091" s="523" t="s">
        <v>127</v>
      </c>
      <c r="L1091" s="15"/>
      <c r="M1091" t="str">
        <f t="shared" si="124"/>
        <v/>
      </c>
      <c r="N1091" t="str">
        <f t="shared" si="122"/>
        <v/>
      </c>
    </row>
    <row r="1092" spans="1:14" ht="15" thickBot="1">
      <c r="A1092" s="281">
        <v>46294</v>
      </c>
      <c r="B1092" s="492" t="s">
        <v>309</v>
      </c>
      <c r="C1092" s="246"/>
      <c r="D1092" s="244">
        <v>258.48</v>
      </c>
      <c r="E1092" s="150"/>
      <c r="F1092" s="150"/>
      <c r="G1092" s="153">
        <f>G1091-D1092</f>
        <v>8197475.6859999998</v>
      </c>
      <c r="H1092" s="507" t="s">
        <v>25</v>
      </c>
      <c r="I1092" s="522" t="s">
        <v>116</v>
      </c>
      <c r="J1092" s="519" t="s">
        <v>117</v>
      </c>
      <c r="K1092" s="14"/>
      <c r="L1092" s="412" t="s">
        <v>437</v>
      </c>
      <c r="M1092" t="str">
        <f t="shared" si="124"/>
        <v/>
      </c>
      <c r="N1092" t="str">
        <f t="shared" ref="N1092:N1155" si="127">IF(C1092="","",IF(C1092=D1092,"OJOOO",""))</f>
        <v/>
      </c>
    </row>
    <row r="1093" spans="1:14" ht="15" thickBot="1">
      <c r="A1093" s="281">
        <v>46294</v>
      </c>
      <c r="B1093" s="492" t="s">
        <v>309</v>
      </c>
      <c r="C1093" s="246"/>
      <c r="D1093" s="244">
        <v>42.32</v>
      </c>
      <c r="E1093" s="150"/>
      <c r="F1093" s="150"/>
      <c r="G1093" s="153">
        <f t="shared" ref="G1093:G1094" si="128">G1092-D1093</f>
        <v>8197433.3659999995</v>
      </c>
      <c r="H1093" s="507" t="s">
        <v>25</v>
      </c>
      <c r="I1093" s="522" t="s">
        <v>116</v>
      </c>
      <c r="J1093" s="519" t="s">
        <v>117</v>
      </c>
      <c r="K1093" s="14"/>
      <c r="L1093" s="412" t="s">
        <v>437</v>
      </c>
      <c r="M1093" t="str">
        <f t="shared" si="124"/>
        <v/>
      </c>
      <c r="N1093" t="str">
        <f t="shared" si="127"/>
        <v/>
      </c>
    </row>
    <row r="1094" spans="1:14" ht="15" thickBot="1">
      <c r="A1094" s="281">
        <v>46294</v>
      </c>
      <c r="B1094" s="492" t="s">
        <v>309</v>
      </c>
      <c r="C1094" s="246"/>
      <c r="D1094" s="244">
        <v>7.55</v>
      </c>
      <c r="E1094" s="150"/>
      <c r="F1094" s="150"/>
      <c r="G1094" s="153">
        <f t="shared" si="128"/>
        <v>8197425.8159999996</v>
      </c>
      <c r="H1094" s="507" t="s">
        <v>25</v>
      </c>
      <c r="I1094" s="522" t="s">
        <v>116</v>
      </c>
      <c r="J1094" s="519" t="s">
        <v>117</v>
      </c>
      <c r="K1094" s="14"/>
      <c r="L1094" s="412" t="s">
        <v>437</v>
      </c>
      <c r="M1094" t="str">
        <f t="shared" si="124"/>
        <v/>
      </c>
      <c r="N1094" t="str">
        <f t="shared" si="127"/>
        <v/>
      </c>
    </row>
    <row r="1095" spans="1:14" ht="15" thickBot="1">
      <c r="A1095" s="69">
        <v>46294</v>
      </c>
      <c r="B1095" s="70" t="s">
        <v>727</v>
      </c>
      <c r="C1095" s="72"/>
      <c r="D1095" s="73"/>
      <c r="E1095" s="70">
        <v>11.64</v>
      </c>
      <c r="F1095" s="72">
        <v>11332.1</v>
      </c>
      <c r="G1095" s="74">
        <f>G1094+F1095</f>
        <v>8208757.9159999993</v>
      </c>
      <c r="H1095" s="75" t="s">
        <v>10</v>
      </c>
      <c r="I1095" s="522" t="s">
        <v>127</v>
      </c>
      <c r="J1095" s="519" t="s">
        <v>741</v>
      </c>
      <c r="K1095" s="523" t="s">
        <v>127</v>
      </c>
      <c r="L1095" s="15"/>
      <c r="M1095" t="str">
        <f t="shared" si="124"/>
        <v/>
      </c>
      <c r="N1095" t="str">
        <f t="shared" si="127"/>
        <v/>
      </c>
    </row>
    <row r="1096" spans="1:14" ht="15" thickBot="1">
      <c r="A1096" s="69">
        <v>46295</v>
      </c>
      <c r="B1096" s="70" t="s">
        <v>728</v>
      </c>
      <c r="C1096" s="72"/>
      <c r="D1096" s="73"/>
      <c r="E1096" s="70">
        <v>44.15</v>
      </c>
      <c r="F1096" s="72">
        <v>42997.88</v>
      </c>
      <c r="G1096" s="74">
        <f>G1095+F1096</f>
        <v>8251755.7959999992</v>
      </c>
      <c r="H1096" s="75" t="s">
        <v>13</v>
      </c>
      <c r="I1096" s="522" t="s">
        <v>127</v>
      </c>
      <c r="J1096" s="519" t="s">
        <v>738</v>
      </c>
      <c r="K1096" s="523" t="s">
        <v>127</v>
      </c>
      <c r="L1096" s="15"/>
      <c r="M1096" t="str">
        <f t="shared" si="124"/>
        <v/>
      </c>
      <c r="N1096" t="str">
        <f t="shared" si="127"/>
        <v/>
      </c>
    </row>
    <row r="1097" spans="1:14" ht="15" thickBot="1">
      <c r="A1097" s="69">
        <v>46295</v>
      </c>
      <c r="B1097" s="70" t="s">
        <v>729</v>
      </c>
      <c r="C1097" s="72"/>
      <c r="D1097" s="73"/>
      <c r="E1097" s="70">
        <v>41.62</v>
      </c>
      <c r="F1097" s="72">
        <v>40536.722999999998</v>
      </c>
      <c r="G1097" s="74">
        <f t="shared" ref="G1097:G1098" si="129">G1096+F1097</f>
        <v>8292292.5189999994</v>
      </c>
      <c r="H1097" s="75" t="s">
        <v>13</v>
      </c>
      <c r="I1097" s="522" t="s">
        <v>127</v>
      </c>
      <c r="J1097" s="519" t="s">
        <v>741</v>
      </c>
      <c r="K1097" s="523" t="s">
        <v>127</v>
      </c>
      <c r="L1097" s="15"/>
      <c r="M1097" t="str">
        <f t="shared" si="124"/>
        <v/>
      </c>
      <c r="N1097" t="str">
        <f t="shared" si="127"/>
        <v/>
      </c>
    </row>
    <row r="1098" spans="1:14" ht="15" thickBot="1">
      <c r="A1098" s="69">
        <v>46295</v>
      </c>
      <c r="B1098" s="70" t="s">
        <v>715</v>
      </c>
      <c r="C1098" s="72"/>
      <c r="D1098" s="73"/>
      <c r="E1098" s="70">
        <v>23.54</v>
      </c>
      <c r="F1098" s="72">
        <v>22925.26</v>
      </c>
      <c r="G1098" s="74">
        <f t="shared" si="129"/>
        <v>8315217.7789999992</v>
      </c>
      <c r="H1098" s="75" t="s">
        <v>13</v>
      </c>
      <c r="I1098" s="522" t="s">
        <v>127</v>
      </c>
      <c r="J1098" s="519" t="s">
        <v>738</v>
      </c>
      <c r="K1098" s="523" t="s">
        <v>127</v>
      </c>
      <c r="L1098" s="15"/>
      <c r="M1098" t="str">
        <f t="shared" si="124"/>
        <v/>
      </c>
      <c r="N1098" t="str">
        <f t="shared" si="127"/>
        <v/>
      </c>
    </row>
    <row r="1099" spans="1:14" ht="15" thickBot="1">
      <c r="A1099" s="281">
        <v>46295</v>
      </c>
      <c r="B1099" s="492" t="s">
        <v>309</v>
      </c>
      <c r="C1099" s="246">
        <v>0.66</v>
      </c>
      <c r="D1099" s="244">
        <v>644.96</v>
      </c>
      <c r="E1099" s="150"/>
      <c r="F1099" s="150"/>
      <c r="G1099" s="153">
        <f>G1098-D1099</f>
        <v>8314572.8189999992</v>
      </c>
      <c r="H1099" s="507" t="s">
        <v>730</v>
      </c>
      <c r="I1099" s="522" t="s">
        <v>116</v>
      </c>
      <c r="J1099" s="519" t="s">
        <v>117</v>
      </c>
      <c r="K1099" s="14"/>
      <c r="L1099" s="412" t="s">
        <v>437</v>
      </c>
      <c r="M1099" t="str">
        <f t="shared" si="124"/>
        <v/>
      </c>
      <c r="N1099" t="str">
        <f t="shared" si="127"/>
        <v/>
      </c>
    </row>
    <row r="1100" spans="1:14" ht="15" thickBot="1">
      <c r="A1100" s="281">
        <v>46295</v>
      </c>
      <c r="B1100" s="492" t="s">
        <v>309</v>
      </c>
      <c r="C1100" s="246">
        <v>0.62</v>
      </c>
      <c r="D1100" s="244">
        <v>608.04999999999995</v>
      </c>
      <c r="E1100" s="150"/>
      <c r="F1100" s="150"/>
      <c r="G1100" s="153">
        <f t="shared" ref="G1100:G1114" si="130">G1099-D1100</f>
        <v>8313964.7689999994</v>
      </c>
      <c r="H1100" s="507" t="s">
        <v>730</v>
      </c>
      <c r="I1100" s="522" t="s">
        <v>116</v>
      </c>
      <c r="J1100" s="519" t="s">
        <v>117</v>
      </c>
      <c r="K1100" s="14"/>
      <c r="L1100" s="412" t="s">
        <v>437</v>
      </c>
      <c r="M1100" t="str">
        <f t="shared" si="124"/>
        <v/>
      </c>
      <c r="N1100" t="str">
        <f t="shared" si="127"/>
        <v/>
      </c>
    </row>
    <row r="1101" spans="1:14" ht="15" thickBot="1">
      <c r="A1101" s="281">
        <v>46295</v>
      </c>
      <c r="B1101" s="492" t="s">
        <v>309</v>
      </c>
      <c r="C1101" s="246">
        <v>0.35</v>
      </c>
      <c r="D1101" s="244">
        <v>343.87</v>
      </c>
      <c r="E1101" s="150"/>
      <c r="F1101" s="150"/>
      <c r="G1101" s="153">
        <f t="shared" si="130"/>
        <v>8313620.8989999993</v>
      </c>
      <c r="H1101" s="507" t="s">
        <v>730</v>
      </c>
      <c r="I1101" s="522" t="s">
        <v>116</v>
      </c>
      <c r="J1101" s="519" t="s">
        <v>117</v>
      </c>
      <c r="K1101" s="14"/>
      <c r="L1101" s="412" t="s">
        <v>437</v>
      </c>
      <c r="M1101" t="str">
        <f t="shared" si="124"/>
        <v/>
      </c>
      <c r="N1101" t="str">
        <f t="shared" si="127"/>
        <v/>
      </c>
    </row>
    <row r="1102" spans="1:14" ht="15" thickBot="1">
      <c r="A1102" s="281">
        <v>46295</v>
      </c>
      <c r="B1102" s="506" t="s">
        <v>731</v>
      </c>
      <c r="C1102" s="246">
        <v>35.409999999999997</v>
      </c>
      <c r="D1102" s="244">
        <v>34482.79</v>
      </c>
      <c r="E1102" s="150"/>
      <c r="F1102" s="150"/>
      <c r="G1102" s="153">
        <f t="shared" si="130"/>
        <v>8279138.1089999992</v>
      </c>
      <c r="H1102" s="507" t="s">
        <v>13</v>
      </c>
      <c r="I1102" s="522" t="s">
        <v>116</v>
      </c>
      <c r="J1102" s="519" t="s">
        <v>117</v>
      </c>
      <c r="K1102" s="14"/>
      <c r="L1102" s="412" t="s">
        <v>437</v>
      </c>
      <c r="M1102" t="str">
        <f t="shared" si="124"/>
        <v/>
      </c>
      <c r="N1102" t="str">
        <f t="shared" si="127"/>
        <v/>
      </c>
    </row>
    <row r="1103" spans="1:14" ht="29.5" thickBot="1">
      <c r="A1103" s="281">
        <v>46295</v>
      </c>
      <c r="B1103" s="508" t="s">
        <v>732</v>
      </c>
      <c r="C1103" s="246">
        <v>3726.88</v>
      </c>
      <c r="D1103" s="244">
        <v>3629715.32</v>
      </c>
      <c r="E1103" s="150"/>
      <c r="F1103" s="150"/>
      <c r="G1103" s="153">
        <f t="shared" si="130"/>
        <v>4649422.7889999989</v>
      </c>
      <c r="H1103" s="507" t="s">
        <v>10</v>
      </c>
      <c r="I1103" s="522" t="s">
        <v>119</v>
      </c>
      <c r="J1103" s="519" t="s">
        <v>121</v>
      </c>
      <c r="K1103" s="14"/>
      <c r="L1103" s="412" t="s">
        <v>437</v>
      </c>
      <c r="M1103" t="str">
        <f t="shared" si="124"/>
        <v/>
      </c>
      <c r="N1103" t="str">
        <f t="shared" si="127"/>
        <v/>
      </c>
    </row>
    <row r="1104" spans="1:14" ht="15" thickBot="1">
      <c r="A1104" s="281">
        <v>46295</v>
      </c>
      <c r="B1104" s="506" t="s">
        <v>70</v>
      </c>
      <c r="C1104" s="246">
        <v>11.18</v>
      </c>
      <c r="D1104" s="244">
        <v>10889.14</v>
      </c>
      <c r="E1104" s="150"/>
      <c r="F1104" s="150"/>
      <c r="G1104" s="153">
        <f t="shared" si="130"/>
        <v>4638533.6489999993</v>
      </c>
      <c r="H1104" s="507" t="s">
        <v>25</v>
      </c>
      <c r="I1104" s="522" t="s">
        <v>116</v>
      </c>
      <c r="J1104" s="519" t="s">
        <v>25</v>
      </c>
      <c r="K1104" s="14"/>
      <c r="L1104" s="412" t="s">
        <v>437</v>
      </c>
      <c r="M1104" t="str">
        <f t="shared" si="124"/>
        <v/>
      </c>
      <c r="N1104" t="str">
        <f t="shared" si="127"/>
        <v/>
      </c>
    </row>
    <row r="1105" spans="1:14" ht="29.5" thickBot="1">
      <c r="A1105" s="281">
        <v>46295</v>
      </c>
      <c r="B1105" s="524" t="s">
        <v>747</v>
      </c>
      <c r="C1105" s="246">
        <v>179.85</v>
      </c>
      <c r="D1105" s="244">
        <v>175163.53</v>
      </c>
      <c r="E1105" s="150"/>
      <c r="F1105" s="150"/>
      <c r="G1105" s="153">
        <f t="shared" si="130"/>
        <v>4463370.118999999</v>
      </c>
      <c r="H1105" s="507" t="s">
        <v>10</v>
      </c>
      <c r="I1105" s="522" t="s">
        <v>119</v>
      </c>
      <c r="J1105" s="519" t="s">
        <v>121</v>
      </c>
      <c r="K1105" s="14"/>
      <c r="L1105" s="412" t="s">
        <v>437</v>
      </c>
      <c r="M1105" t="str">
        <f t="shared" si="124"/>
        <v/>
      </c>
      <c r="N1105" t="str">
        <f t="shared" si="127"/>
        <v/>
      </c>
    </row>
    <row r="1106" spans="1:14" ht="15" thickBot="1">
      <c r="A1106" s="281">
        <v>46295</v>
      </c>
      <c r="B1106" s="506" t="s">
        <v>70</v>
      </c>
      <c r="C1106" s="246">
        <v>0.54</v>
      </c>
      <c r="D1106" s="244">
        <v>525.49</v>
      </c>
      <c r="E1106" s="150"/>
      <c r="F1106" s="150"/>
      <c r="G1106" s="153">
        <f t="shared" si="130"/>
        <v>4462844.6289999988</v>
      </c>
      <c r="H1106" s="507" t="s">
        <v>25</v>
      </c>
      <c r="I1106" s="522" t="s">
        <v>116</v>
      </c>
      <c r="J1106" s="519" t="s">
        <v>25</v>
      </c>
      <c r="K1106" s="14"/>
      <c r="L1106" s="412" t="s">
        <v>437</v>
      </c>
      <c r="M1106" t="str">
        <f t="shared" si="124"/>
        <v/>
      </c>
      <c r="N1106" t="str">
        <f t="shared" si="127"/>
        <v/>
      </c>
    </row>
    <row r="1107" spans="1:14" ht="29.5" thickBot="1">
      <c r="A1107" s="281">
        <v>46295</v>
      </c>
      <c r="B1107" s="508" t="s">
        <v>734</v>
      </c>
      <c r="C1107" s="246">
        <v>2557.85</v>
      </c>
      <c r="D1107" s="244">
        <v>2491158</v>
      </c>
      <c r="E1107" s="150"/>
      <c r="F1107" s="150"/>
      <c r="G1107" s="153">
        <f t="shared" si="130"/>
        <v>1971686.6289999988</v>
      </c>
      <c r="H1107" s="507" t="s">
        <v>10</v>
      </c>
      <c r="I1107" s="522" t="s">
        <v>116</v>
      </c>
      <c r="J1107" s="555" t="s">
        <v>827</v>
      </c>
      <c r="K1107" s="14"/>
      <c r="L1107" s="412" t="s">
        <v>437</v>
      </c>
      <c r="M1107" t="str">
        <f t="shared" si="124"/>
        <v/>
      </c>
      <c r="N1107" t="str">
        <f t="shared" si="127"/>
        <v/>
      </c>
    </row>
    <row r="1108" spans="1:14" ht="15" thickBot="1">
      <c r="A1108" s="281">
        <v>46295</v>
      </c>
      <c r="B1108" s="506" t="s">
        <v>735</v>
      </c>
      <c r="C1108" s="246">
        <v>101.44</v>
      </c>
      <c r="D1108" s="244">
        <v>98792.23</v>
      </c>
      <c r="E1108" s="150"/>
      <c r="F1108" s="150"/>
      <c r="G1108" s="153">
        <f t="shared" si="130"/>
        <v>1872894.3989999988</v>
      </c>
      <c r="H1108" s="525" t="s">
        <v>10</v>
      </c>
      <c r="I1108" s="522" t="s">
        <v>119</v>
      </c>
      <c r="J1108" s="519" t="s">
        <v>443</v>
      </c>
      <c r="K1108" s="14"/>
      <c r="L1108" s="412" t="s">
        <v>437</v>
      </c>
      <c r="M1108" t="str">
        <f t="shared" ref="M1108:M1171" si="131">IF(E1108="","",IF(E1108=F1108,"OJOOO",""))</f>
        <v/>
      </c>
      <c r="N1108" t="str">
        <f t="shared" si="127"/>
        <v/>
      </c>
    </row>
    <row r="1109" spans="1:14" ht="15" thickBot="1">
      <c r="A1109" s="281">
        <v>46295</v>
      </c>
      <c r="B1109" s="506" t="s">
        <v>70</v>
      </c>
      <c r="C1109" s="246">
        <v>0.34</v>
      </c>
      <c r="D1109" s="244">
        <v>296.37</v>
      </c>
      <c r="E1109" s="150"/>
      <c r="F1109" s="150"/>
      <c r="G1109" s="153">
        <f t="shared" si="130"/>
        <v>1872598.0289999987</v>
      </c>
      <c r="H1109" s="507" t="s">
        <v>25</v>
      </c>
      <c r="I1109" s="522" t="s">
        <v>116</v>
      </c>
      <c r="J1109" s="519" t="s">
        <v>25</v>
      </c>
      <c r="K1109" s="14"/>
      <c r="L1109" s="412" t="s">
        <v>437</v>
      </c>
      <c r="M1109" t="str">
        <f t="shared" si="131"/>
        <v/>
      </c>
      <c r="N1109" t="str">
        <f t="shared" si="127"/>
        <v/>
      </c>
    </row>
    <row r="1110" spans="1:14" ht="29.5" thickBot="1">
      <c r="A1110" s="281">
        <v>46295</v>
      </c>
      <c r="B1110" s="510" t="s">
        <v>736</v>
      </c>
      <c r="C1110" s="246">
        <v>132</v>
      </c>
      <c r="D1110" s="244">
        <v>113396.3</v>
      </c>
      <c r="E1110" s="150"/>
      <c r="F1110" s="150"/>
      <c r="G1110" s="153">
        <f t="shared" si="130"/>
        <v>1759201.7289999987</v>
      </c>
      <c r="H1110" s="507" t="s">
        <v>10</v>
      </c>
      <c r="I1110" s="522" t="s">
        <v>116</v>
      </c>
      <c r="J1110" s="519" t="s">
        <v>269</v>
      </c>
      <c r="K1110" s="14"/>
      <c r="L1110" s="412" t="s">
        <v>437</v>
      </c>
      <c r="M1110" t="str">
        <f t="shared" si="131"/>
        <v/>
      </c>
      <c r="N1110" t="str">
        <f t="shared" si="127"/>
        <v/>
      </c>
    </row>
    <row r="1111" spans="1:14" ht="15" thickBot="1">
      <c r="A1111" s="281">
        <v>46295</v>
      </c>
      <c r="B1111" s="506" t="s">
        <v>70</v>
      </c>
      <c r="C1111" s="246"/>
      <c r="D1111" s="244">
        <v>340.18</v>
      </c>
      <c r="E1111" s="150"/>
      <c r="F1111" s="150"/>
      <c r="G1111" s="153">
        <f t="shared" si="130"/>
        <v>1758861.5489999987</v>
      </c>
      <c r="H1111" s="507" t="s">
        <v>25</v>
      </c>
      <c r="I1111" s="522" t="s">
        <v>116</v>
      </c>
      <c r="J1111" s="519" t="s">
        <v>25</v>
      </c>
      <c r="K1111" s="14"/>
      <c r="L1111" s="412" t="s">
        <v>437</v>
      </c>
      <c r="M1111" t="str">
        <f t="shared" si="131"/>
        <v/>
      </c>
      <c r="N1111" t="str">
        <f t="shared" si="127"/>
        <v/>
      </c>
    </row>
    <row r="1112" spans="1:14" ht="15" thickBot="1">
      <c r="A1112" s="281">
        <v>46295</v>
      </c>
      <c r="B1112" s="536" t="s">
        <v>47</v>
      </c>
      <c r="C1112" s="246">
        <v>6.97</v>
      </c>
      <c r="D1112" s="246">
        <v>6839</v>
      </c>
      <c r="E1112" s="246"/>
      <c r="F1112" s="150"/>
      <c r="G1112" s="153">
        <f t="shared" si="130"/>
        <v>1752022.5489999987</v>
      </c>
      <c r="H1112" s="507" t="s">
        <v>25</v>
      </c>
      <c r="I1112" s="522" t="s">
        <v>116</v>
      </c>
      <c r="J1112" s="519" t="s">
        <v>25</v>
      </c>
      <c r="K1112" s="15"/>
      <c r="L1112" s="412" t="s">
        <v>437</v>
      </c>
      <c r="M1112" t="str">
        <f t="shared" si="131"/>
        <v/>
      </c>
      <c r="N1112" t="str">
        <f t="shared" si="127"/>
        <v/>
      </c>
    </row>
    <row r="1113" spans="1:14" ht="15" thickBot="1">
      <c r="A1113" s="281">
        <v>46295</v>
      </c>
      <c r="B1113" s="536" t="s">
        <v>73</v>
      </c>
      <c r="C1113" s="246">
        <v>0.06</v>
      </c>
      <c r="D1113" s="246">
        <v>54</v>
      </c>
      <c r="E1113" s="246"/>
      <c r="F1113" s="150"/>
      <c r="G1113" s="153">
        <f t="shared" si="130"/>
        <v>1751968.5489999987</v>
      </c>
      <c r="H1113" s="507" t="s">
        <v>25</v>
      </c>
      <c r="I1113" s="522" t="s">
        <v>116</v>
      </c>
      <c r="J1113" s="519" t="s">
        <v>25</v>
      </c>
      <c r="K1113" s="15"/>
      <c r="L1113" s="412" t="s">
        <v>437</v>
      </c>
      <c r="M1113" t="str">
        <f t="shared" si="131"/>
        <v/>
      </c>
      <c r="N1113" t="str">
        <f t="shared" si="127"/>
        <v/>
      </c>
    </row>
    <row r="1114" spans="1:14" ht="15" thickBot="1">
      <c r="A1114" s="281">
        <v>46295</v>
      </c>
      <c r="B1114" s="536" t="s">
        <v>820</v>
      </c>
      <c r="C1114" s="371">
        <v>0.06</v>
      </c>
      <c r="D1114" s="246">
        <v>54</v>
      </c>
      <c r="E1114" s="246"/>
      <c r="F1114" s="150"/>
      <c r="G1114" s="153">
        <f t="shared" si="130"/>
        <v>1751914.5489999987</v>
      </c>
      <c r="H1114" s="507" t="s">
        <v>25</v>
      </c>
      <c r="I1114" s="522" t="s">
        <v>116</v>
      </c>
      <c r="J1114" s="519" t="s">
        <v>25</v>
      </c>
      <c r="K1114" s="15"/>
      <c r="L1114" s="412" t="s">
        <v>437</v>
      </c>
      <c r="M1114" t="str">
        <f t="shared" si="131"/>
        <v/>
      </c>
      <c r="N1114" t="str">
        <f t="shared" si="127"/>
        <v/>
      </c>
    </row>
    <row r="1115" spans="1:14" ht="15" thickBot="1">
      <c r="A1115" s="69">
        <v>46295</v>
      </c>
      <c r="B1115" s="70" t="s">
        <v>821</v>
      </c>
      <c r="C1115" s="547"/>
      <c r="D1115" s="554"/>
      <c r="E1115" s="72">
        <v>19.05</v>
      </c>
      <c r="F1115" s="72">
        <v>18682.14</v>
      </c>
      <c r="G1115" s="74">
        <f>G1114+F1115</f>
        <v>1770596.6889999986</v>
      </c>
      <c r="H1115" s="75" t="s">
        <v>25</v>
      </c>
      <c r="I1115" s="522" t="s">
        <v>127</v>
      </c>
      <c r="J1115" s="555" t="s">
        <v>822</v>
      </c>
      <c r="K1115" s="555" t="s">
        <v>127</v>
      </c>
      <c r="L1115" s="117"/>
      <c r="M1115" t="str">
        <f t="shared" si="131"/>
        <v/>
      </c>
      <c r="N1115" t="str">
        <f t="shared" si="127"/>
        <v/>
      </c>
    </row>
    <row r="1116" spans="1:14" ht="15" thickBot="1">
      <c r="A1116" s="69">
        <v>46296</v>
      </c>
      <c r="B1116" s="70" t="s">
        <v>717</v>
      </c>
      <c r="C1116" s="358"/>
      <c r="D1116" s="70"/>
      <c r="E1116" s="358"/>
      <c r="F1116" s="72">
        <v>31476.85</v>
      </c>
      <c r="G1116" s="74">
        <v>1802073.54</v>
      </c>
      <c r="H1116" s="359" t="s">
        <v>13</v>
      </c>
      <c r="I1116" s="522" t="s">
        <v>127</v>
      </c>
      <c r="J1116" s="519" t="s">
        <v>738</v>
      </c>
      <c r="K1116" s="555" t="s">
        <v>127</v>
      </c>
      <c r="L1116" s="117"/>
      <c r="M1116" t="str">
        <f t="shared" si="131"/>
        <v/>
      </c>
      <c r="N1116" t="str">
        <f t="shared" si="127"/>
        <v/>
      </c>
    </row>
    <row r="1117" spans="1:14" ht="15" thickBot="1">
      <c r="A1117" s="69">
        <v>46296</v>
      </c>
      <c r="B1117" s="70" t="s">
        <v>749</v>
      </c>
      <c r="C1117" s="358"/>
      <c r="D1117" s="72"/>
      <c r="E1117" s="72"/>
      <c r="F1117" s="72">
        <v>22892.26</v>
      </c>
      <c r="G1117" s="74">
        <f>G1116+F1117</f>
        <v>1824965.8</v>
      </c>
      <c r="H1117" s="359" t="s">
        <v>13</v>
      </c>
      <c r="I1117" s="522" t="s">
        <v>127</v>
      </c>
      <c r="J1117" s="519" t="s">
        <v>738</v>
      </c>
      <c r="K1117" s="555" t="s">
        <v>127</v>
      </c>
      <c r="L1117" s="117"/>
      <c r="M1117" t="str">
        <f t="shared" si="131"/>
        <v/>
      </c>
      <c r="N1117" t="str">
        <f t="shared" si="127"/>
        <v/>
      </c>
    </row>
    <row r="1118" spans="1:14" ht="15" thickBot="1">
      <c r="A1118" s="454">
        <v>46296</v>
      </c>
      <c r="B1118" s="492" t="s">
        <v>309</v>
      </c>
      <c r="C1118" s="244"/>
      <c r="D1118" s="246">
        <v>472.15</v>
      </c>
      <c r="E1118" s="453"/>
      <c r="F1118" s="452"/>
      <c r="G1118" s="245">
        <f t="shared" ref="G1118:G1124" si="132">G1117-D1118</f>
        <v>1824493.6500000001</v>
      </c>
      <c r="H1118" s="527" t="s">
        <v>25</v>
      </c>
      <c r="I1118" s="522" t="s">
        <v>116</v>
      </c>
      <c r="J1118" s="519" t="s">
        <v>25</v>
      </c>
      <c r="K1118" s="15"/>
      <c r="L1118" s="412" t="s">
        <v>437</v>
      </c>
      <c r="M1118" t="str">
        <f t="shared" si="131"/>
        <v/>
      </c>
      <c r="N1118" t="str">
        <f t="shared" si="127"/>
        <v/>
      </c>
    </row>
    <row r="1119" spans="1:14" ht="15" thickBot="1">
      <c r="A1119" s="454">
        <v>46296</v>
      </c>
      <c r="B1119" s="492" t="s">
        <v>309</v>
      </c>
      <c r="C1119" s="247"/>
      <c r="D1119" s="247">
        <v>343.38</v>
      </c>
      <c r="E1119" s="234"/>
      <c r="F1119" s="357"/>
      <c r="G1119" s="245">
        <f t="shared" si="132"/>
        <v>1824150.2700000003</v>
      </c>
      <c r="H1119" s="527" t="s">
        <v>25</v>
      </c>
      <c r="I1119" s="522" t="s">
        <v>116</v>
      </c>
      <c r="J1119" s="519" t="s">
        <v>25</v>
      </c>
      <c r="K1119" s="15"/>
      <c r="L1119" s="412" t="s">
        <v>437</v>
      </c>
      <c r="M1119" t="str">
        <f t="shared" si="131"/>
        <v/>
      </c>
      <c r="N1119" t="str">
        <f t="shared" si="127"/>
        <v/>
      </c>
    </row>
    <row r="1120" spans="1:14" ht="15" thickBot="1">
      <c r="A1120" s="529">
        <v>46296</v>
      </c>
      <c r="B1120" s="530" t="s">
        <v>751</v>
      </c>
      <c r="C1120" s="247">
        <v>79.23</v>
      </c>
      <c r="D1120" s="246">
        <v>78098.5</v>
      </c>
      <c r="E1120" s="528"/>
      <c r="F1120" s="452"/>
      <c r="G1120" s="245">
        <f t="shared" si="132"/>
        <v>1746051.7700000003</v>
      </c>
      <c r="H1120" s="531" t="s">
        <v>13</v>
      </c>
      <c r="I1120" s="556" t="s">
        <v>119</v>
      </c>
      <c r="J1120" s="555" t="s">
        <v>128</v>
      </c>
      <c r="K1120" s="15"/>
      <c r="L1120" s="412" t="s">
        <v>437</v>
      </c>
      <c r="M1120" t="str">
        <f t="shared" si="131"/>
        <v/>
      </c>
      <c r="N1120" t="str">
        <f t="shared" si="127"/>
        <v/>
      </c>
    </row>
    <row r="1121" spans="1:14" ht="15" thickBot="1">
      <c r="A1121" s="529">
        <v>46296</v>
      </c>
      <c r="B1121" s="532" t="s">
        <v>752</v>
      </c>
      <c r="C1121" s="24">
        <v>9.6</v>
      </c>
      <c r="D1121" s="235">
        <v>9459.2199999999993</v>
      </c>
      <c r="E1121" s="234"/>
      <c r="F1121" s="234"/>
      <c r="G1121" s="245">
        <f t="shared" si="132"/>
        <v>1736592.5500000003</v>
      </c>
      <c r="H1121" s="531" t="s">
        <v>13</v>
      </c>
      <c r="I1121" s="556" t="s">
        <v>119</v>
      </c>
      <c r="J1121" s="555" t="s">
        <v>128</v>
      </c>
      <c r="K1121" s="15"/>
      <c r="L1121" s="412" t="s">
        <v>437</v>
      </c>
      <c r="M1121" t="str">
        <f t="shared" si="131"/>
        <v/>
      </c>
      <c r="N1121" t="str">
        <f t="shared" si="127"/>
        <v/>
      </c>
    </row>
    <row r="1122" spans="1:14" ht="15" thickBot="1">
      <c r="A1122" s="454">
        <v>46296</v>
      </c>
      <c r="B1122" s="530" t="s">
        <v>750</v>
      </c>
      <c r="C1122" s="246">
        <v>7.76</v>
      </c>
      <c r="D1122" s="277">
        <v>7647</v>
      </c>
      <c r="E1122" s="458"/>
      <c r="F1122" s="459"/>
      <c r="G1122" s="245">
        <f t="shared" si="132"/>
        <v>1728945.5500000003</v>
      </c>
      <c r="H1122" s="531" t="s">
        <v>13</v>
      </c>
      <c r="I1122" s="556" t="s">
        <v>119</v>
      </c>
      <c r="J1122" s="555" t="s">
        <v>128</v>
      </c>
      <c r="K1122" s="15"/>
      <c r="L1122" s="412" t="s">
        <v>437</v>
      </c>
      <c r="M1122" t="str">
        <f t="shared" si="131"/>
        <v/>
      </c>
      <c r="N1122" t="str">
        <f t="shared" si="127"/>
        <v/>
      </c>
    </row>
    <row r="1123" spans="1:14" ht="15" thickBot="1">
      <c r="A1123" s="454">
        <v>46296</v>
      </c>
      <c r="B1123" s="530" t="s">
        <v>753</v>
      </c>
      <c r="C1123" s="246">
        <v>2.52</v>
      </c>
      <c r="D1123" s="246">
        <v>2486.25</v>
      </c>
      <c r="E1123" s="458"/>
      <c r="F1123" s="459"/>
      <c r="G1123" s="245">
        <f t="shared" si="132"/>
        <v>1726459.3000000003</v>
      </c>
      <c r="H1123" s="531" t="s">
        <v>13</v>
      </c>
      <c r="I1123" s="556" t="s">
        <v>119</v>
      </c>
      <c r="J1123" s="555" t="s">
        <v>128</v>
      </c>
      <c r="K1123" s="15"/>
      <c r="L1123" s="412" t="s">
        <v>437</v>
      </c>
      <c r="M1123" t="str">
        <f t="shared" si="131"/>
        <v/>
      </c>
      <c r="N1123" t="str">
        <f t="shared" si="127"/>
        <v/>
      </c>
    </row>
    <row r="1124" spans="1:14" ht="15" thickBot="1">
      <c r="A1124" s="454">
        <v>46296</v>
      </c>
      <c r="B1124" s="530" t="s">
        <v>754</v>
      </c>
      <c r="C1124" s="246">
        <v>1.52</v>
      </c>
      <c r="D1124" s="461">
        <v>1500</v>
      </c>
      <c r="E1124" s="452"/>
      <c r="F1124" s="460"/>
      <c r="G1124" s="245">
        <f t="shared" si="132"/>
        <v>1724959.3000000003</v>
      </c>
      <c r="H1124" s="531" t="s">
        <v>13</v>
      </c>
      <c r="I1124" s="556" t="s">
        <v>119</v>
      </c>
      <c r="J1124" s="555" t="s">
        <v>128</v>
      </c>
      <c r="K1124" s="15"/>
      <c r="L1124" s="412" t="s">
        <v>437</v>
      </c>
      <c r="M1124" t="str">
        <f t="shared" si="131"/>
        <v/>
      </c>
      <c r="N1124" t="str">
        <f t="shared" si="127"/>
        <v/>
      </c>
    </row>
    <row r="1125" spans="1:14" ht="15" thickBot="1">
      <c r="A1125" s="69">
        <v>46296</v>
      </c>
      <c r="B1125" s="70" t="s">
        <v>755</v>
      </c>
      <c r="C1125" s="72"/>
      <c r="D1125" s="73"/>
      <c r="E1125" s="70">
        <v>920.76</v>
      </c>
      <c r="F1125" s="72">
        <v>907616.43</v>
      </c>
      <c r="G1125" s="74">
        <f>G1124+F1125</f>
        <v>2632575.7300000004</v>
      </c>
      <c r="H1125" s="359" t="s">
        <v>10</v>
      </c>
      <c r="I1125" s="556" t="s">
        <v>127</v>
      </c>
      <c r="J1125" s="555" t="s">
        <v>823</v>
      </c>
      <c r="K1125" s="555" t="s">
        <v>127</v>
      </c>
      <c r="L1125" s="117"/>
      <c r="M1125" t="str">
        <f t="shared" si="131"/>
        <v/>
      </c>
      <c r="N1125" t="str">
        <f t="shared" si="127"/>
        <v/>
      </c>
    </row>
    <row r="1126" spans="1:14" ht="15" thickBot="1">
      <c r="A1126" s="69">
        <v>46296</v>
      </c>
      <c r="B1126" s="70" t="s">
        <v>756</v>
      </c>
      <c r="C1126" s="72"/>
      <c r="D1126" s="73"/>
      <c r="E1126" s="70">
        <v>201.44</v>
      </c>
      <c r="F1126" s="72">
        <v>198563.19</v>
      </c>
      <c r="G1126" s="74">
        <f>G1125+F1126</f>
        <v>2831138.9200000004</v>
      </c>
      <c r="H1126" s="359" t="s">
        <v>10</v>
      </c>
      <c r="I1126" s="556" t="s">
        <v>127</v>
      </c>
      <c r="J1126" s="555" t="s">
        <v>740</v>
      </c>
      <c r="K1126" s="555" t="s">
        <v>127</v>
      </c>
      <c r="L1126" s="117"/>
      <c r="M1126" t="str">
        <f t="shared" si="131"/>
        <v/>
      </c>
      <c r="N1126" t="str">
        <f t="shared" si="127"/>
        <v/>
      </c>
    </row>
    <row r="1127" spans="1:14" ht="15" thickBot="1">
      <c r="A1127" s="69">
        <v>46297</v>
      </c>
      <c r="B1127" s="70" t="s">
        <v>749</v>
      </c>
      <c r="C1127" s="72"/>
      <c r="D1127" s="73"/>
      <c r="E1127" s="70"/>
      <c r="F1127" s="72">
        <v>31591.01</v>
      </c>
      <c r="G1127" s="74">
        <f t="shared" ref="G1127:G1128" si="133">G1126+F1127</f>
        <v>2862729.93</v>
      </c>
      <c r="H1127" s="359" t="s">
        <v>13</v>
      </c>
      <c r="I1127" s="556" t="s">
        <v>127</v>
      </c>
      <c r="J1127" s="555" t="s">
        <v>738</v>
      </c>
      <c r="K1127" s="555" t="s">
        <v>127</v>
      </c>
      <c r="L1127" s="117"/>
      <c r="M1127" t="str">
        <f t="shared" si="131"/>
        <v/>
      </c>
      <c r="N1127" t="str">
        <f t="shared" si="127"/>
        <v/>
      </c>
    </row>
    <row r="1128" spans="1:14" ht="15" thickBot="1">
      <c r="A1128" s="69">
        <v>46297</v>
      </c>
      <c r="B1128" s="70" t="s">
        <v>749</v>
      </c>
      <c r="C1128" s="72"/>
      <c r="D1128" s="73"/>
      <c r="E1128" s="72"/>
      <c r="F1128" s="72">
        <v>11487.64</v>
      </c>
      <c r="G1128" s="74">
        <f t="shared" si="133"/>
        <v>2874217.5700000003</v>
      </c>
      <c r="H1128" s="75" t="s">
        <v>13</v>
      </c>
      <c r="I1128" s="556" t="s">
        <v>127</v>
      </c>
      <c r="J1128" s="555" t="s">
        <v>738</v>
      </c>
      <c r="K1128" s="555" t="s">
        <v>127</v>
      </c>
      <c r="L1128" s="117"/>
      <c r="M1128" t="str">
        <f t="shared" si="131"/>
        <v/>
      </c>
      <c r="N1128" t="str">
        <f t="shared" si="127"/>
        <v/>
      </c>
    </row>
    <row r="1129" spans="1:14" ht="15" thickBot="1">
      <c r="A1129" s="529">
        <v>46297</v>
      </c>
      <c r="B1129" s="492" t="s">
        <v>309</v>
      </c>
      <c r="C1129" s="246">
        <v>0.48</v>
      </c>
      <c r="D1129" s="244">
        <v>473.86</v>
      </c>
      <c r="E1129" s="452"/>
      <c r="F1129" s="452"/>
      <c r="G1129" s="245">
        <f t="shared" ref="G1129:G1135" si="134">G1128-D1129</f>
        <v>2873743.7100000004</v>
      </c>
      <c r="H1129" s="533" t="s">
        <v>25</v>
      </c>
      <c r="I1129" s="556" t="s">
        <v>116</v>
      </c>
      <c r="J1129" s="555" t="s">
        <v>25</v>
      </c>
      <c r="K1129" s="15"/>
      <c r="L1129" s="412" t="s">
        <v>437</v>
      </c>
      <c r="M1129" t="str">
        <f t="shared" si="131"/>
        <v/>
      </c>
      <c r="N1129" t="str">
        <f t="shared" si="127"/>
        <v/>
      </c>
    </row>
    <row r="1130" spans="1:14" ht="15" thickBot="1">
      <c r="A1130" s="529">
        <v>46297</v>
      </c>
      <c r="B1130" s="492" t="s">
        <v>309</v>
      </c>
      <c r="C1130" s="246">
        <v>0.17</v>
      </c>
      <c r="D1130" s="244">
        <v>172.31</v>
      </c>
      <c r="E1130" s="236"/>
      <c r="F1130" s="236"/>
      <c r="G1130" s="245">
        <f t="shared" si="134"/>
        <v>2873571.4000000004</v>
      </c>
      <c r="H1130" s="533" t="s">
        <v>25</v>
      </c>
      <c r="I1130" s="556" t="s">
        <v>116</v>
      </c>
      <c r="J1130" s="555" t="s">
        <v>25</v>
      </c>
      <c r="K1130" s="15"/>
      <c r="L1130" s="412" t="s">
        <v>437</v>
      </c>
      <c r="M1130" t="str">
        <f t="shared" si="131"/>
        <v/>
      </c>
      <c r="N1130" t="str">
        <f t="shared" si="127"/>
        <v/>
      </c>
    </row>
    <row r="1131" spans="1:14" ht="15" thickBot="1">
      <c r="A1131" s="529" t="s">
        <v>760</v>
      </c>
      <c r="B1131" s="530" t="s">
        <v>761</v>
      </c>
      <c r="C1131" s="246">
        <v>18.29</v>
      </c>
      <c r="D1131" s="244">
        <v>18024.439999999999</v>
      </c>
      <c r="E1131" s="236"/>
      <c r="F1131" s="236"/>
      <c r="G1131" s="245">
        <f t="shared" si="134"/>
        <v>2855546.9600000004</v>
      </c>
      <c r="H1131" s="535" t="s">
        <v>13</v>
      </c>
      <c r="I1131" s="556" t="s">
        <v>119</v>
      </c>
      <c r="J1131" s="555" t="s">
        <v>128</v>
      </c>
      <c r="K1131" s="15"/>
      <c r="L1131" s="412" t="s">
        <v>437</v>
      </c>
      <c r="M1131" t="str">
        <f t="shared" si="131"/>
        <v/>
      </c>
      <c r="N1131" t="str">
        <f t="shared" si="127"/>
        <v/>
      </c>
    </row>
    <row r="1132" spans="1:14" ht="15" thickBot="1">
      <c r="A1132" s="529">
        <v>46297</v>
      </c>
      <c r="B1132" s="557" t="s">
        <v>757</v>
      </c>
      <c r="C1132" s="246">
        <v>603.42999999999995</v>
      </c>
      <c r="D1132" s="244">
        <v>594816.27</v>
      </c>
      <c r="E1132" s="150"/>
      <c r="F1132" s="150"/>
      <c r="G1132" s="245">
        <f t="shared" si="134"/>
        <v>2260730.6900000004</v>
      </c>
      <c r="H1132" s="533" t="s">
        <v>10</v>
      </c>
      <c r="I1132" s="556" t="s">
        <v>116</v>
      </c>
      <c r="J1132" s="555" t="s">
        <v>269</v>
      </c>
      <c r="K1132" s="15"/>
      <c r="L1132" s="412" t="s">
        <v>437</v>
      </c>
      <c r="M1132" t="str">
        <f t="shared" si="131"/>
        <v/>
      </c>
      <c r="N1132" t="str">
        <f t="shared" si="127"/>
        <v/>
      </c>
    </row>
    <row r="1133" spans="1:14" ht="15" thickBot="1">
      <c r="A1133" s="529">
        <v>46297</v>
      </c>
      <c r="B1133" s="530" t="s">
        <v>31</v>
      </c>
      <c r="C1133" s="246">
        <v>1.81</v>
      </c>
      <c r="D1133" s="244">
        <v>1784.44</v>
      </c>
      <c r="E1133" s="150"/>
      <c r="F1133" s="150"/>
      <c r="G1133" s="245">
        <f t="shared" si="134"/>
        <v>2258946.2500000005</v>
      </c>
      <c r="H1133" s="533" t="s">
        <v>25</v>
      </c>
      <c r="I1133" s="556" t="s">
        <v>116</v>
      </c>
      <c r="J1133" s="555" t="s">
        <v>25</v>
      </c>
      <c r="K1133" s="15"/>
      <c r="L1133" s="412" t="s">
        <v>437</v>
      </c>
      <c r="M1133" t="str">
        <f t="shared" si="131"/>
        <v/>
      </c>
      <c r="N1133" t="str">
        <f t="shared" si="127"/>
        <v/>
      </c>
    </row>
    <row r="1134" spans="1:14" ht="15" thickBot="1">
      <c r="A1134" s="529">
        <v>46297</v>
      </c>
      <c r="B1134" s="532" t="s">
        <v>758</v>
      </c>
      <c r="C1134" s="246">
        <v>517.38</v>
      </c>
      <c r="D1134" s="244">
        <v>510000</v>
      </c>
      <c r="E1134" s="150"/>
      <c r="F1134" s="150"/>
      <c r="G1134" s="245">
        <f t="shared" si="134"/>
        <v>1748946.2500000005</v>
      </c>
      <c r="H1134" s="533" t="s">
        <v>10</v>
      </c>
      <c r="I1134" s="556" t="s">
        <v>119</v>
      </c>
      <c r="J1134" s="555" t="s">
        <v>128</v>
      </c>
      <c r="K1134" s="15"/>
      <c r="L1134" s="412" t="s">
        <v>437</v>
      </c>
      <c r="M1134" t="str">
        <f t="shared" si="131"/>
        <v/>
      </c>
      <c r="N1134" t="str">
        <f t="shared" si="127"/>
        <v/>
      </c>
    </row>
    <row r="1135" spans="1:14" ht="15" thickBot="1">
      <c r="A1135" s="529">
        <v>46297</v>
      </c>
      <c r="B1135" s="530" t="s">
        <v>31</v>
      </c>
      <c r="C1135" s="246">
        <v>1.55</v>
      </c>
      <c r="D1135" s="244">
        <v>1530</v>
      </c>
      <c r="E1135" s="150"/>
      <c r="F1135" s="150"/>
      <c r="G1135" s="245">
        <f t="shared" si="134"/>
        <v>1747416.2500000005</v>
      </c>
      <c r="H1135" s="533" t="s">
        <v>25</v>
      </c>
      <c r="I1135" s="556" t="s">
        <v>116</v>
      </c>
      <c r="J1135" s="555" t="s">
        <v>25</v>
      </c>
      <c r="K1135" s="15"/>
      <c r="L1135" s="412" t="s">
        <v>437</v>
      </c>
      <c r="M1135" t="str">
        <f t="shared" si="131"/>
        <v/>
      </c>
      <c r="N1135" t="str">
        <f t="shared" si="127"/>
        <v/>
      </c>
    </row>
    <row r="1136" spans="1:14" ht="15" thickBot="1">
      <c r="A1136" s="69">
        <v>46298</v>
      </c>
      <c r="B1136" s="70" t="s">
        <v>759</v>
      </c>
      <c r="C1136" s="72"/>
      <c r="D1136" s="73"/>
      <c r="E1136" s="70">
        <v>41.54</v>
      </c>
      <c r="F1136" s="72">
        <v>40942.370000000003</v>
      </c>
      <c r="G1136" s="74">
        <f>G1135+F1136</f>
        <v>1788358.6200000006</v>
      </c>
      <c r="H1136" s="75" t="s">
        <v>13</v>
      </c>
      <c r="I1136" s="556" t="s">
        <v>127</v>
      </c>
      <c r="J1136" s="555" t="s">
        <v>738</v>
      </c>
      <c r="K1136" s="555" t="s">
        <v>127</v>
      </c>
      <c r="L1136" s="117"/>
      <c r="M1136" t="str">
        <f t="shared" si="131"/>
        <v/>
      </c>
      <c r="N1136" t="str">
        <f t="shared" si="127"/>
        <v/>
      </c>
    </row>
    <row r="1137" spans="1:14" ht="15" thickBot="1">
      <c r="A1137" s="69">
        <v>46298</v>
      </c>
      <c r="B1137" s="70" t="s">
        <v>719</v>
      </c>
      <c r="C1137" s="72"/>
      <c r="D1137" s="73"/>
      <c r="E1137" s="70">
        <v>20.329999999999998</v>
      </c>
      <c r="F1137" s="72">
        <v>20043.419999999998</v>
      </c>
      <c r="G1137" s="74">
        <f>G1136+F1137</f>
        <v>1808402.0400000005</v>
      </c>
      <c r="H1137" s="75" t="s">
        <v>13</v>
      </c>
      <c r="I1137" s="556" t="s">
        <v>127</v>
      </c>
      <c r="J1137" s="555" t="s">
        <v>738</v>
      </c>
      <c r="K1137" s="555" t="s">
        <v>127</v>
      </c>
      <c r="L1137" s="117"/>
      <c r="M1137" t="str">
        <f t="shared" si="131"/>
        <v/>
      </c>
      <c r="N1137" t="str">
        <f t="shared" si="127"/>
        <v/>
      </c>
    </row>
    <row r="1138" spans="1:14" ht="15" thickBot="1">
      <c r="A1138" s="529">
        <v>46298</v>
      </c>
      <c r="B1138" s="492" t="s">
        <v>309</v>
      </c>
      <c r="C1138" s="246">
        <v>0.62</v>
      </c>
      <c r="D1138" s="244">
        <v>614.13</v>
      </c>
      <c r="E1138" s="150"/>
      <c r="F1138" s="150"/>
      <c r="G1138" s="245">
        <f>G1137-D1138</f>
        <v>1807787.9100000006</v>
      </c>
      <c r="H1138" s="533" t="s">
        <v>25</v>
      </c>
      <c r="I1138" s="556" t="s">
        <v>116</v>
      </c>
      <c r="J1138" s="555" t="s">
        <v>25</v>
      </c>
      <c r="K1138" s="15"/>
      <c r="L1138" s="412" t="s">
        <v>437</v>
      </c>
      <c r="M1138" t="str">
        <f t="shared" si="131"/>
        <v/>
      </c>
      <c r="N1138" t="str">
        <f t="shared" si="127"/>
        <v/>
      </c>
    </row>
    <row r="1139" spans="1:14" ht="15" thickBot="1">
      <c r="A1139" s="529">
        <v>46298</v>
      </c>
      <c r="B1139" s="492" t="s">
        <v>309</v>
      </c>
      <c r="C1139" s="246">
        <v>0.31</v>
      </c>
      <c r="D1139" s="244">
        <v>300.64999999999998</v>
      </c>
      <c r="E1139" s="150"/>
      <c r="F1139" s="150"/>
      <c r="G1139" s="245">
        <f>G1138-D1139</f>
        <v>1807487.2600000007</v>
      </c>
      <c r="H1139" s="533" t="s">
        <v>25</v>
      </c>
      <c r="I1139" s="556" t="s">
        <v>116</v>
      </c>
      <c r="J1139" s="555" t="s">
        <v>25</v>
      </c>
      <c r="K1139" s="15"/>
      <c r="L1139" s="412" t="s">
        <v>437</v>
      </c>
      <c r="M1139" t="str">
        <f t="shared" si="131"/>
        <v/>
      </c>
      <c r="N1139" t="str">
        <f t="shared" si="127"/>
        <v/>
      </c>
    </row>
    <row r="1140" spans="1:14" ht="15" thickBot="1">
      <c r="A1140" s="529">
        <v>46298</v>
      </c>
      <c r="B1140" s="532" t="s">
        <v>753</v>
      </c>
      <c r="C1140" s="246">
        <v>1.59</v>
      </c>
      <c r="D1140" s="244">
        <v>1568.47</v>
      </c>
      <c r="E1140" s="150"/>
      <c r="F1140" s="150"/>
      <c r="G1140" s="245">
        <f>G1139-D1140</f>
        <v>1805918.7900000007</v>
      </c>
      <c r="H1140" s="533" t="s">
        <v>13</v>
      </c>
      <c r="I1140" s="556" t="s">
        <v>119</v>
      </c>
      <c r="J1140" s="555" t="s">
        <v>128</v>
      </c>
      <c r="K1140" s="15"/>
      <c r="L1140" s="412" t="s">
        <v>437</v>
      </c>
      <c r="M1140" t="str">
        <f t="shared" si="131"/>
        <v/>
      </c>
      <c r="N1140" t="str">
        <f t="shared" si="127"/>
        <v/>
      </c>
    </row>
    <row r="1141" spans="1:14" ht="15" thickBot="1">
      <c r="A1141" s="69">
        <v>46299</v>
      </c>
      <c r="B1141" s="70" t="s">
        <v>762</v>
      </c>
      <c r="C1141" s="72"/>
      <c r="D1141" s="73"/>
      <c r="E1141" s="70">
        <v>38</v>
      </c>
      <c r="F1141" s="72">
        <v>37458.050000000003</v>
      </c>
      <c r="G1141" s="74">
        <f>G1140+F1141</f>
        <v>1843376.8400000008</v>
      </c>
      <c r="H1141" s="75" t="s">
        <v>13</v>
      </c>
      <c r="I1141" s="556" t="s">
        <v>127</v>
      </c>
      <c r="J1141" s="555" t="s">
        <v>738</v>
      </c>
      <c r="K1141" s="555" t="s">
        <v>127</v>
      </c>
      <c r="L1141" s="117"/>
      <c r="M1141" t="str">
        <f t="shared" si="131"/>
        <v/>
      </c>
      <c r="N1141" t="str">
        <f t="shared" si="127"/>
        <v/>
      </c>
    </row>
    <row r="1142" spans="1:14" ht="15" thickBot="1">
      <c r="A1142" s="69">
        <v>46299</v>
      </c>
      <c r="B1142" s="70" t="s">
        <v>724</v>
      </c>
      <c r="C1142" s="72"/>
      <c r="D1142" s="73"/>
      <c r="E1142" s="70">
        <v>29.18</v>
      </c>
      <c r="F1142" s="72">
        <v>28761.4</v>
      </c>
      <c r="G1142" s="74">
        <f>G1141+F1142</f>
        <v>1872138.2400000007</v>
      </c>
      <c r="H1142" s="75" t="s">
        <v>13</v>
      </c>
      <c r="I1142" s="556" t="s">
        <v>127</v>
      </c>
      <c r="J1142" s="555" t="s">
        <v>738</v>
      </c>
      <c r="K1142" s="555" t="s">
        <v>127</v>
      </c>
      <c r="L1142" s="117"/>
      <c r="M1142" t="str">
        <f t="shared" si="131"/>
        <v/>
      </c>
      <c r="N1142" t="str">
        <f t="shared" si="127"/>
        <v/>
      </c>
    </row>
    <row r="1143" spans="1:14" ht="15" thickBot="1">
      <c r="A1143" s="281">
        <v>46299</v>
      </c>
      <c r="B1143" s="492" t="s">
        <v>309</v>
      </c>
      <c r="C1143" s="246">
        <v>0.64</v>
      </c>
      <c r="D1143" s="244">
        <v>561.87</v>
      </c>
      <c r="E1143" s="150"/>
      <c r="F1143" s="150"/>
      <c r="G1143" s="245">
        <f>G1142-D1143</f>
        <v>1871576.3700000006</v>
      </c>
      <c r="H1143" s="533" t="s">
        <v>25</v>
      </c>
      <c r="I1143" s="556" t="s">
        <v>116</v>
      </c>
      <c r="J1143" s="555" t="s">
        <v>25</v>
      </c>
      <c r="K1143" s="15"/>
      <c r="L1143" s="412" t="s">
        <v>437</v>
      </c>
      <c r="M1143" t="str">
        <f t="shared" si="131"/>
        <v/>
      </c>
      <c r="N1143" t="str">
        <f t="shared" si="127"/>
        <v/>
      </c>
    </row>
    <row r="1144" spans="1:14" ht="15" thickBot="1">
      <c r="A1144" s="281">
        <v>46299</v>
      </c>
      <c r="B1144" s="492" t="s">
        <v>309</v>
      </c>
      <c r="C1144" s="246">
        <v>0.49</v>
      </c>
      <c r="D1144" s="244">
        <v>431.42</v>
      </c>
      <c r="E1144" s="150"/>
      <c r="F1144" s="150"/>
      <c r="G1144" s="245">
        <f>G1143-D1144</f>
        <v>1871144.9500000007</v>
      </c>
      <c r="H1144" s="533" t="s">
        <v>25</v>
      </c>
      <c r="I1144" s="556" t="s">
        <v>116</v>
      </c>
      <c r="J1144" s="555" t="s">
        <v>25</v>
      </c>
      <c r="K1144" s="15"/>
      <c r="L1144" s="412" t="s">
        <v>437</v>
      </c>
      <c r="M1144" t="str">
        <f t="shared" si="131"/>
        <v/>
      </c>
      <c r="N1144" t="str">
        <f t="shared" si="127"/>
        <v/>
      </c>
    </row>
    <row r="1145" spans="1:14" ht="15" thickBot="1">
      <c r="A1145" s="69">
        <v>46300</v>
      </c>
      <c r="B1145" s="70" t="s">
        <v>728</v>
      </c>
      <c r="C1145" s="72"/>
      <c r="D1145" s="73"/>
      <c r="E1145" s="70"/>
      <c r="F1145" s="72">
        <v>14423.35</v>
      </c>
      <c r="G1145" s="74">
        <f>G1144+F1145</f>
        <v>1885568.3000000007</v>
      </c>
      <c r="H1145" s="75" t="s">
        <v>13</v>
      </c>
      <c r="I1145" s="556" t="s">
        <v>127</v>
      </c>
      <c r="J1145" s="555" t="s">
        <v>738</v>
      </c>
      <c r="K1145" s="555" t="s">
        <v>127</v>
      </c>
      <c r="L1145" s="117"/>
      <c r="M1145" t="str">
        <f t="shared" si="131"/>
        <v/>
      </c>
      <c r="N1145" t="str">
        <f t="shared" si="127"/>
        <v/>
      </c>
    </row>
    <row r="1146" spans="1:14" ht="15" thickBot="1">
      <c r="A1146" s="69">
        <v>46300</v>
      </c>
      <c r="B1146" s="70" t="s">
        <v>763</v>
      </c>
      <c r="C1146" s="72"/>
      <c r="D1146" s="73"/>
      <c r="E1146" s="70"/>
      <c r="F1146" s="72">
        <v>2884.67</v>
      </c>
      <c r="G1146" s="74">
        <f>G1145+F1146</f>
        <v>1888452.9700000007</v>
      </c>
      <c r="H1146" s="75" t="s">
        <v>13</v>
      </c>
      <c r="I1146" s="556" t="s">
        <v>127</v>
      </c>
      <c r="J1146" s="555" t="s">
        <v>738</v>
      </c>
      <c r="K1146" s="555" t="s">
        <v>127</v>
      </c>
      <c r="L1146" s="117"/>
      <c r="M1146" t="str">
        <f t="shared" si="131"/>
        <v/>
      </c>
      <c r="N1146" t="str">
        <f t="shared" si="127"/>
        <v/>
      </c>
    </row>
    <row r="1147" spans="1:14" ht="15" thickBot="1">
      <c r="A1147" s="281">
        <v>46300</v>
      </c>
      <c r="B1147" s="492" t="s">
        <v>309</v>
      </c>
      <c r="C1147" s="246">
        <v>0.22</v>
      </c>
      <c r="D1147" s="244">
        <v>216.35</v>
      </c>
      <c r="E1147" s="150"/>
      <c r="F1147" s="150"/>
      <c r="G1147" s="245">
        <f>G1146-D1147</f>
        <v>1888236.6200000006</v>
      </c>
      <c r="H1147" s="533" t="s">
        <v>25</v>
      </c>
      <c r="I1147" s="556" t="s">
        <v>116</v>
      </c>
      <c r="J1147" s="555" t="s">
        <v>25</v>
      </c>
      <c r="K1147" s="15"/>
      <c r="L1147" s="412" t="s">
        <v>437</v>
      </c>
      <c r="M1147" t="str">
        <f t="shared" si="131"/>
        <v/>
      </c>
      <c r="N1147" t="str">
        <f t="shared" si="127"/>
        <v/>
      </c>
    </row>
    <row r="1148" spans="1:14" ht="15" thickBot="1">
      <c r="A1148" s="281">
        <v>46300</v>
      </c>
      <c r="B1148" s="492" t="s">
        <v>309</v>
      </c>
      <c r="C1148" s="246">
        <v>0.04</v>
      </c>
      <c r="D1148" s="244">
        <v>43.27</v>
      </c>
      <c r="E1148" s="150"/>
      <c r="F1148" s="150"/>
      <c r="G1148" s="245">
        <f>G1147-D1148</f>
        <v>1888193.3500000006</v>
      </c>
      <c r="H1148" s="533" t="s">
        <v>25</v>
      </c>
      <c r="I1148" s="556" t="s">
        <v>116</v>
      </c>
      <c r="J1148" s="555" t="s">
        <v>25</v>
      </c>
      <c r="K1148" s="15"/>
      <c r="L1148" s="412" t="s">
        <v>437</v>
      </c>
      <c r="M1148" t="str">
        <f t="shared" si="131"/>
        <v/>
      </c>
      <c r="N1148" t="str">
        <f t="shared" si="127"/>
        <v/>
      </c>
    </row>
    <row r="1149" spans="1:14" ht="15" thickBot="1">
      <c r="A1149" s="281">
        <v>46300</v>
      </c>
      <c r="B1149" s="530" t="s">
        <v>764</v>
      </c>
      <c r="C1149" s="246">
        <v>0.95</v>
      </c>
      <c r="D1149" s="244">
        <v>934.11</v>
      </c>
      <c r="E1149" s="150"/>
      <c r="F1149" s="150"/>
      <c r="G1149" s="245">
        <f>G1148-D1149</f>
        <v>1887259.2400000005</v>
      </c>
      <c r="H1149" s="533" t="s">
        <v>25</v>
      </c>
      <c r="I1149" s="556" t="s">
        <v>116</v>
      </c>
      <c r="J1149" s="555" t="s">
        <v>266</v>
      </c>
      <c r="K1149" s="15"/>
      <c r="L1149" s="412" t="s">
        <v>437</v>
      </c>
      <c r="M1149" t="str">
        <f t="shared" si="131"/>
        <v/>
      </c>
      <c r="N1149" t="str">
        <f t="shared" si="127"/>
        <v/>
      </c>
    </row>
    <row r="1150" spans="1:14" ht="15" thickBot="1">
      <c r="A1150" s="69">
        <v>46301</v>
      </c>
      <c r="B1150" s="70" t="s">
        <v>765</v>
      </c>
      <c r="C1150" s="72"/>
      <c r="D1150" s="73"/>
      <c r="E1150" s="381">
        <v>2307.04</v>
      </c>
      <c r="F1150" s="72">
        <v>2274113.71</v>
      </c>
      <c r="G1150" s="74">
        <f>G1149+F1150</f>
        <v>4161372.95</v>
      </c>
      <c r="H1150" s="75" t="s">
        <v>10</v>
      </c>
      <c r="I1150" s="556" t="s">
        <v>127</v>
      </c>
      <c r="J1150" s="555" t="s">
        <v>737</v>
      </c>
      <c r="K1150" s="555" t="s">
        <v>127</v>
      </c>
      <c r="L1150" s="117"/>
      <c r="M1150" t="str">
        <f t="shared" si="131"/>
        <v/>
      </c>
      <c r="N1150" t="str">
        <f t="shared" si="127"/>
        <v/>
      </c>
    </row>
    <row r="1151" spans="1:14" ht="15" thickBot="1">
      <c r="A1151" s="69">
        <v>46301</v>
      </c>
      <c r="B1151" s="70" t="s">
        <v>766</v>
      </c>
      <c r="C1151" s="72"/>
      <c r="D1151" s="73"/>
      <c r="E1151" s="70">
        <v>40.97</v>
      </c>
      <c r="F1151" s="72">
        <v>40390.269999999997</v>
      </c>
      <c r="G1151" s="74">
        <f t="shared" ref="G1151:G1152" si="135">G1150+F1151</f>
        <v>4201763.22</v>
      </c>
      <c r="H1151" s="75" t="s">
        <v>13</v>
      </c>
      <c r="I1151" s="556" t="s">
        <v>127</v>
      </c>
      <c r="J1151" s="555" t="s">
        <v>738</v>
      </c>
      <c r="K1151" s="555" t="s">
        <v>127</v>
      </c>
      <c r="L1151" s="117"/>
      <c r="M1151" t="str">
        <f t="shared" si="131"/>
        <v/>
      </c>
      <c r="N1151" t="str">
        <f t="shared" si="127"/>
        <v/>
      </c>
    </row>
    <row r="1152" spans="1:14" ht="15" thickBot="1">
      <c r="A1152" s="69">
        <v>46301</v>
      </c>
      <c r="B1152" s="70" t="s">
        <v>749</v>
      </c>
      <c r="C1152" s="72"/>
      <c r="D1152" s="73"/>
      <c r="E1152" s="70">
        <v>35.119999999999997</v>
      </c>
      <c r="F1152" s="72">
        <v>34616.04</v>
      </c>
      <c r="G1152" s="74">
        <f t="shared" si="135"/>
        <v>4236379.26</v>
      </c>
      <c r="H1152" s="75" t="s">
        <v>13</v>
      </c>
      <c r="I1152" s="556" t="s">
        <v>127</v>
      </c>
      <c r="J1152" s="555" t="s">
        <v>738</v>
      </c>
      <c r="K1152" s="555" t="s">
        <v>127</v>
      </c>
      <c r="L1152" s="117"/>
      <c r="M1152" t="str">
        <f t="shared" si="131"/>
        <v/>
      </c>
      <c r="N1152" t="str">
        <f t="shared" si="127"/>
        <v/>
      </c>
    </row>
    <row r="1153" spans="1:14" ht="15" thickBot="1">
      <c r="A1153" s="281">
        <v>46301</v>
      </c>
      <c r="B1153" s="492" t="s">
        <v>309</v>
      </c>
      <c r="C1153" s="246">
        <v>0.61</v>
      </c>
      <c r="D1153" s="244">
        <v>605.85</v>
      </c>
      <c r="E1153" s="150"/>
      <c r="F1153" s="150"/>
      <c r="G1153" s="245">
        <f>G1152-D1153</f>
        <v>4235773.41</v>
      </c>
      <c r="H1153" s="535" t="s">
        <v>730</v>
      </c>
      <c r="I1153" s="556" t="s">
        <v>116</v>
      </c>
      <c r="J1153" s="555" t="s">
        <v>25</v>
      </c>
      <c r="K1153" s="15"/>
      <c r="L1153" s="412" t="s">
        <v>437</v>
      </c>
      <c r="M1153" t="str">
        <f t="shared" si="131"/>
        <v/>
      </c>
      <c r="N1153" t="str">
        <f t="shared" si="127"/>
        <v/>
      </c>
    </row>
    <row r="1154" spans="1:14" ht="15" thickBot="1">
      <c r="A1154" s="281">
        <v>46301</v>
      </c>
      <c r="B1154" s="492" t="s">
        <v>309</v>
      </c>
      <c r="C1154" s="246">
        <v>0.53</v>
      </c>
      <c r="D1154" s="244">
        <v>519.24</v>
      </c>
      <c r="E1154" s="150"/>
      <c r="F1154" s="150"/>
      <c r="G1154" s="245">
        <f>G1153-D1154</f>
        <v>4235254.17</v>
      </c>
      <c r="H1154" s="535" t="s">
        <v>25</v>
      </c>
      <c r="I1154" s="556" t="s">
        <v>116</v>
      </c>
      <c r="J1154" s="555" t="s">
        <v>25</v>
      </c>
      <c r="K1154" s="15"/>
      <c r="L1154" s="412" t="s">
        <v>437</v>
      </c>
      <c r="M1154" t="str">
        <f t="shared" si="131"/>
        <v/>
      </c>
      <c r="N1154" t="str">
        <f t="shared" si="127"/>
        <v/>
      </c>
    </row>
    <row r="1155" spans="1:14" ht="15" thickBot="1">
      <c r="A1155" s="69">
        <v>46301</v>
      </c>
      <c r="B1155" s="378" t="s">
        <v>767</v>
      </c>
      <c r="C1155" s="72"/>
      <c r="D1155" s="73"/>
      <c r="E1155" s="381">
        <v>3205.11</v>
      </c>
      <c r="F1155" s="72">
        <v>3159368.22</v>
      </c>
      <c r="G1155" s="74">
        <f>G1154+F1155</f>
        <v>7394622.3900000006</v>
      </c>
      <c r="H1155" s="75" t="s">
        <v>10</v>
      </c>
      <c r="I1155" s="556" t="s">
        <v>127</v>
      </c>
      <c r="J1155" s="555" t="s">
        <v>824</v>
      </c>
      <c r="K1155" s="555" t="s">
        <v>127</v>
      </c>
      <c r="L1155" s="117"/>
      <c r="M1155" t="str">
        <f t="shared" si="131"/>
        <v/>
      </c>
      <c r="N1155" t="str">
        <f t="shared" si="127"/>
        <v/>
      </c>
    </row>
    <row r="1156" spans="1:14" ht="15" thickBot="1">
      <c r="A1156" s="69">
        <v>46301</v>
      </c>
      <c r="B1156" s="378" t="s">
        <v>768</v>
      </c>
      <c r="C1156" s="72"/>
      <c r="D1156" s="73"/>
      <c r="E1156" s="381">
        <v>3205.11</v>
      </c>
      <c r="F1156" s="72">
        <v>3159368.22</v>
      </c>
      <c r="G1156" s="74">
        <f>G1155+F1156</f>
        <v>10553990.610000001</v>
      </c>
      <c r="H1156" s="75" t="s">
        <v>10</v>
      </c>
      <c r="I1156" s="556" t="s">
        <v>127</v>
      </c>
      <c r="J1156" s="555" t="s">
        <v>824</v>
      </c>
      <c r="K1156" s="555" t="s">
        <v>127</v>
      </c>
      <c r="L1156" s="117"/>
      <c r="M1156" t="str">
        <f t="shared" si="131"/>
        <v/>
      </c>
      <c r="N1156" t="str">
        <f t="shared" ref="N1156:N1219" si="136">IF(C1156="","",IF(C1156=D1156,"OJOOO",""))</f>
        <v/>
      </c>
    </row>
    <row r="1157" spans="1:14" ht="15" thickBot="1">
      <c r="A1157" s="281">
        <v>46301</v>
      </c>
      <c r="B1157" s="537" t="s">
        <v>769</v>
      </c>
      <c r="C1157" s="246">
        <v>247.81</v>
      </c>
      <c r="D1157" s="244">
        <v>244269.96</v>
      </c>
      <c r="E1157" s="150"/>
      <c r="F1157" s="150"/>
      <c r="G1157" s="245">
        <f t="shared" ref="G1157:G1163" si="137">G1156-D1157</f>
        <v>10309720.65</v>
      </c>
      <c r="H1157" s="535" t="s">
        <v>10</v>
      </c>
      <c r="I1157" s="556" t="s">
        <v>119</v>
      </c>
      <c r="J1157" s="555" t="s">
        <v>128</v>
      </c>
      <c r="K1157" s="15"/>
      <c r="L1157" s="412" t="s">
        <v>437</v>
      </c>
      <c r="M1157" t="str">
        <f t="shared" si="131"/>
        <v/>
      </c>
      <c r="N1157" t="str">
        <f t="shared" si="136"/>
        <v/>
      </c>
    </row>
    <row r="1158" spans="1:14" ht="15" thickBot="1">
      <c r="A1158" s="281">
        <v>46301</v>
      </c>
      <c r="B1158" s="536" t="s">
        <v>31</v>
      </c>
      <c r="C1158" s="246">
        <v>0.74</v>
      </c>
      <c r="D1158" s="244">
        <v>732.8</v>
      </c>
      <c r="E1158" s="150"/>
      <c r="F1158" s="150"/>
      <c r="G1158" s="245">
        <f t="shared" si="137"/>
        <v>10308987.85</v>
      </c>
      <c r="H1158" s="535" t="s">
        <v>25</v>
      </c>
      <c r="I1158" s="556" t="s">
        <v>116</v>
      </c>
      <c r="J1158" s="555" t="s">
        <v>25</v>
      </c>
      <c r="K1158" s="15"/>
      <c r="L1158" s="412" t="s">
        <v>437</v>
      </c>
      <c r="M1158" t="str">
        <f t="shared" si="131"/>
        <v/>
      </c>
      <c r="N1158" t="str">
        <f t="shared" si="136"/>
        <v/>
      </c>
    </row>
    <row r="1159" spans="1:14" ht="29.5" thickBot="1">
      <c r="A1159" s="281">
        <v>46301</v>
      </c>
      <c r="B1159" s="537" t="s">
        <v>770</v>
      </c>
      <c r="C1159" s="246">
        <v>1078.6199999999999</v>
      </c>
      <c r="D1159" s="244">
        <v>1063228.6000000001</v>
      </c>
      <c r="E1159" s="150"/>
      <c r="F1159" s="150"/>
      <c r="G1159" s="245">
        <f t="shared" si="137"/>
        <v>9245759.25</v>
      </c>
      <c r="H1159" s="535" t="s">
        <v>10</v>
      </c>
      <c r="I1159" s="556" t="s">
        <v>119</v>
      </c>
      <c r="J1159" s="555" t="s">
        <v>446</v>
      </c>
      <c r="K1159" s="15"/>
      <c r="L1159" s="412" t="s">
        <v>437</v>
      </c>
      <c r="M1159" t="str">
        <f t="shared" si="131"/>
        <v/>
      </c>
      <c r="N1159" t="str">
        <f t="shared" si="136"/>
        <v/>
      </c>
    </row>
    <row r="1160" spans="1:14" ht="15" thickBot="1">
      <c r="A1160" s="281">
        <v>46301</v>
      </c>
      <c r="B1160" s="536" t="s">
        <v>31</v>
      </c>
      <c r="C1160" s="246">
        <v>3.24</v>
      </c>
      <c r="D1160" s="244">
        <v>3189.68</v>
      </c>
      <c r="E1160" s="150"/>
      <c r="F1160" s="150"/>
      <c r="G1160" s="245">
        <f t="shared" si="137"/>
        <v>9242569.5700000003</v>
      </c>
      <c r="H1160" s="535" t="s">
        <v>25</v>
      </c>
      <c r="I1160" s="556" t="s">
        <v>116</v>
      </c>
      <c r="J1160" s="555" t="s">
        <v>25</v>
      </c>
      <c r="K1160" s="15"/>
      <c r="L1160" s="412" t="s">
        <v>437</v>
      </c>
      <c r="M1160" t="str">
        <f t="shared" si="131"/>
        <v/>
      </c>
      <c r="N1160" t="str">
        <f t="shared" si="136"/>
        <v/>
      </c>
    </row>
    <row r="1161" spans="1:14" ht="15" thickBot="1">
      <c r="A1161" s="281">
        <v>46301</v>
      </c>
      <c r="B1161" s="537" t="s">
        <v>771</v>
      </c>
      <c r="C1161" s="246">
        <v>202.9</v>
      </c>
      <c r="D1161" s="244">
        <v>200000</v>
      </c>
      <c r="E1161" s="150"/>
      <c r="F1161" s="150"/>
      <c r="G1161" s="245">
        <f t="shared" si="137"/>
        <v>9042569.5700000003</v>
      </c>
      <c r="H1161" s="535" t="s">
        <v>10</v>
      </c>
      <c r="I1161" s="556" t="s">
        <v>119</v>
      </c>
      <c r="J1161" s="555" t="s">
        <v>443</v>
      </c>
      <c r="K1161" s="15"/>
      <c r="L1161" s="412" t="s">
        <v>437</v>
      </c>
      <c r="M1161" t="str">
        <f t="shared" si="131"/>
        <v/>
      </c>
      <c r="N1161" t="str">
        <f t="shared" si="136"/>
        <v/>
      </c>
    </row>
    <row r="1162" spans="1:14" ht="15" thickBot="1">
      <c r="A1162" s="281">
        <v>46301</v>
      </c>
      <c r="B1162" s="536" t="s">
        <v>31</v>
      </c>
      <c r="C1162" s="246">
        <v>0.61</v>
      </c>
      <c r="D1162" s="244">
        <v>600</v>
      </c>
      <c r="E1162" s="150"/>
      <c r="F1162" s="150"/>
      <c r="G1162" s="245">
        <f t="shared" si="137"/>
        <v>9041969.5700000003</v>
      </c>
      <c r="H1162" s="535" t="s">
        <v>25</v>
      </c>
      <c r="I1162" s="556" t="s">
        <v>116</v>
      </c>
      <c r="J1162" s="555" t="s">
        <v>25</v>
      </c>
      <c r="K1162" s="15"/>
      <c r="L1162" s="412" t="s">
        <v>437</v>
      </c>
      <c r="M1162" t="str">
        <f t="shared" si="131"/>
        <v/>
      </c>
      <c r="N1162" t="str">
        <f t="shared" si="136"/>
        <v/>
      </c>
    </row>
    <row r="1163" spans="1:14" ht="29.5" thickBot="1">
      <c r="A1163" s="281">
        <v>46301</v>
      </c>
      <c r="B1163" s="537" t="s">
        <v>772</v>
      </c>
      <c r="C1163" s="246">
        <v>1516.15</v>
      </c>
      <c r="D1163" s="244">
        <v>1494517.5</v>
      </c>
      <c r="E1163" s="150"/>
      <c r="F1163" s="150"/>
      <c r="G1163" s="245">
        <f t="shared" si="137"/>
        <v>7547452.0700000003</v>
      </c>
      <c r="H1163" s="535" t="s">
        <v>10</v>
      </c>
      <c r="I1163" s="556" t="s">
        <v>116</v>
      </c>
      <c r="J1163" s="555" t="s">
        <v>269</v>
      </c>
      <c r="K1163" s="15"/>
      <c r="L1163" s="412" t="s">
        <v>437</v>
      </c>
      <c r="M1163" t="str">
        <f t="shared" si="131"/>
        <v/>
      </c>
      <c r="N1163" t="str">
        <f t="shared" si="136"/>
        <v/>
      </c>
    </row>
    <row r="1164" spans="1:14" ht="15" thickBot="1">
      <c r="A1164" s="69">
        <v>46302</v>
      </c>
      <c r="B1164" s="70" t="s">
        <v>773</v>
      </c>
      <c r="C1164" s="72"/>
      <c r="D1164" s="73"/>
      <c r="E1164" s="70">
        <v>20.399999999999999</v>
      </c>
      <c r="F1164" s="72">
        <v>20111.189999999999</v>
      </c>
      <c r="G1164" s="74">
        <f>G1163+F1164</f>
        <v>7567563.2600000007</v>
      </c>
      <c r="H1164" s="75" t="s">
        <v>13</v>
      </c>
      <c r="I1164" s="556" t="s">
        <v>127</v>
      </c>
      <c r="J1164" s="555" t="s">
        <v>738</v>
      </c>
      <c r="K1164" s="555" t="s">
        <v>127</v>
      </c>
      <c r="L1164" s="117"/>
      <c r="M1164" t="str">
        <f t="shared" si="131"/>
        <v/>
      </c>
      <c r="N1164" t="str">
        <f t="shared" si="136"/>
        <v/>
      </c>
    </row>
    <row r="1165" spans="1:14" ht="15" thickBot="1">
      <c r="A1165" s="69">
        <v>46302</v>
      </c>
      <c r="B1165" s="70" t="s">
        <v>774</v>
      </c>
      <c r="C1165" s="72"/>
      <c r="D1165" s="73"/>
      <c r="E1165" s="70">
        <v>17.489999999999998</v>
      </c>
      <c r="F1165" s="72">
        <v>17238.169999999998</v>
      </c>
      <c r="G1165" s="74">
        <f t="shared" ref="G1165:G1166" si="138">G1164+F1165</f>
        <v>7584801.4300000006</v>
      </c>
      <c r="H1165" s="75" t="s">
        <v>13</v>
      </c>
      <c r="I1165" s="556" t="s">
        <v>127</v>
      </c>
      <c r="J1165" s="555" t="s">
        <v>738</v>
      </c>
      <c r="K1165" s="555" t="s">
        <v>127</v>
      </c>
      <c r="L1165" s="117"/>
      <c r="M1165" t="str">
        <f t="shared" si="131"/>
        <v/>
      </c>
      <c r="N1165" t="str">
        <f t="shared" si="136"/>
        <v/>
      </c>
    </row>
    <row r="1166" spans="1:14" ht="15" thickBot="1">
      <c r="A1166" s="69">
        <v>46302</v>
      </c>
      <c r="B1166" s="70" t="s">
        <v>775</v>
      </c>
      <c r="C1166" s="72"/>
      <c r="D1166" s="73"/>
      <c r="E1166" s="70">
        <v>2.93</v>
      </c>
      <c r="F1166" s="72">
        <v>2884.67</v>
      </c>
      <c r="G1166" s="74">
        <f t="shared" si="138"/>
        <v>7587686.1000000006</v>
      </c>
      <c r="H1166" s="75" t="s">
        <v>13</v>
      </c>
      <c r="I1166" s="556" t="s">
        <v>127</v>
      </c>
      <c r="J1166" s="555" t="s">
        <v>738</v>
      </c>
      <c r="K1166" s="555" t="s">
        <v>127</v>
      </c>
      <c r="L1166" s="117"/>
      <c r="M1166" t="str">
        <f t="shared" si="131"/>
        <v/>
      </c>
      <c r="N1166" t="str">
        <f t="shared" si="136"/>
        <v/>
      </c>
    </row>
    <row r="1167" spans="1:14" ht="15" thickBot="1">
      <c r="A1167" s="281">
        <v>46302</v>
      </c>
      <c r="B1167" s="492" t="s">
        <v>309</v>
      </c>
      <c r="C1167" s="246">
        <v>0.31</v>
      </c>
      <c r="D1167" s="244">
        <v>301.66000000000003</v>
      </c>
      <c r="E1167" s="150"/>
      <c r="F1167" s="150"/>
      <c r="G1167" s="245">
        <f>G1166-D1167</f>
        <v>7587384.4400000004</v>
      </c>
      <c r="H1167" s="535" t="s">
        <v>25</v>
      </c>
      <c r="I1167" s="556" t="s">
        <v>116</v>
      </c>
      <c r="J1167" s="555" t="s">
        <v>25</v>
      </c>
      <c r="K1167" s="15"/>
      <c r="L1167" s="412" t="s">
        <v>437</v>
      </c>
      <c r="M1167" t="str">
        <f t="shared" si="131"/>
        <v/>
      </c>
      <c r="N1167" t="str">
        <f t="shared" si="136"/>
        <v/>
      </c>
    </row>
    <row r="1168" spans="1:14" ht="15" thickBot="1">
      <c r="A1168" s="281">
        <v>46302</v>
      </c>
      <c r="B1168" s="492" t="s">
        <v>309</v>
      </c>
      <c r="C1168" s="246">
        <v>0.26</v>
      </c>
      <c r="D1168" s="244">
        <v>258.57</v>
      </c>
      <c r="E1168" s="150"/>
      <c r="F1168" s="150"/>
      <c r="G1168" s="245">
        <f t="shared" ref="G1168:G1171" si="139">G1167-D1168</f>
        <v>7587125.8700000001</v>
      </c>
      <c r="H1168" s="535" t="s">
        <v>25</v>
      </c>
      <c r="I1168" s="556" t="s">
        <v>116</v>
      </c>
      <c r="J1168" s="555" t="s">
        <v>25</v>
      </c>
      <c r="K1168" s="15"/>
      <c r="L1168" s="412" t="s">
        <v>437</v>
      </c>
      <c r="M1168" t="str">
        <f t="shared" si="131"/>
        <v/>
      </c>
      <c r="N1168" t="str">
        <f t="shared" si="136"/>
        <v/>
      </c>
    </row>
    <row r="1169" spans="1:14" ht="15" thickBot="1">
      <c r="A1169" s="281">
        <v>46302</v>
      </c>
      <c r="B1169" s="492" t="s">
        <v>309</v>
      </c>
      <c r="C1169" s="246">
        <v>0.04</v>
      </c>
      <c r="D1169" s="244">
        <v>43.27</v>
      </c>
      <c r="E1169" s="150"/>
      <c r="F1169" s="150"/>
      <c r="G1169" s="245">
        <f t="shared" si="139"/>
        <v>7587082.6000000006</v>
      </c>
      <c r="H1169" s="535" t="s">
        <v>25</v>
      </c>
      <c r="I1169" s="556" t="s">
        <v>116</v>
      </c>
      <c r="J1169" s="555" t="s">
        <v>25</v>
      </c>
      <c r="K1169" s="15"/>
      <c r="L1169" s="412" t="s">
        <v>437</v>
      </c>
      <c r="M1169" t="str">
        <f t="shared" si="131"/>
        <v/>
      </c>
      <c r="N1169" t="str">
        <f t="shared" si="136"/>
        <v/>
      </c>
    </row>
    <row r="1170" spans="1:14" ht="15" thickBot="1">
      <c r="A1170" s="281">
        <v>46302</v>
      </c>
      <c r="B1170" s="536" t="s">
        <v>776</v>
      </c>
      <c r="C1170" s="246">
        <v>22.28</v>
      </c>
      <c r="D1170" s="244">
        <v>21960.28</v>
      </c>
      <c r="E1170" s="150"/>
      <c r="F1170" s="150"/>
      <c r="G1170" s="245">
        <f t="shared" si="139"/>
        <v>7565122.3200000003</v>
      </c>
      <c r="H1170" s="535" t="s">
        <v>10</v>
      </c>
      <c r="I1170" s="556" t="s">
        <v>116</v>
      </c>
      <c r="J1170" s="555" t="s">
        <v>269</v>
      </c>
      <c r="K1170" s="15"/>
      <c r="L1170" s="412" t="s">
        <v>437</v>
      </c>
      <c r="M1170" t="str">
        <f t="shared" si="131"/>
        <v/>
      </c>
      <c r="N1170" t="str">
        <f t="shared" si="136"/>
        <v/>
      </c>
    </row>
    <row r="1171" spans="1:14" ht="15" thickBot="1">
      <c r="A1171" s="281">
        <v>46302</v>
      </c>
      <c r="B1171" s="536" t="s">
        <v>31</v>
      </c>
      <c r="C1171" s="246">
        <v>7.0000000000000007E-2</v>
      </c>
      <c r="D1171" s="244">
        <v>65.88</v>
      </c>
      <c r="E1171" s="150"/>
      <c r="F1171" s="150"/>
      <c r="G1171" s="245">
        <f t="shared" si="139"/>
        <v>7565056.4400000004</v>
      </c>
      <c r="H1171" s="535" t="s">
        <v>25</v>
      </c>
      <c r="I1171" s="556" t="s">
        <v>116</v>
      </c>
      <c r="J1171" s="555" t="s">
        <v>25</v>
      </c>
      <c r="K1171" s="15"/>
      <c r="L1171" s="412" t="s">
        <v>437</v>
      </c>
      <c r="M1171" t="str">
        <f t="shared" si="131"/>
        <v/>
      </c>
      <c r="N1171" t="str">
        <f t="shared" si="136"/>
        <v/>
      </c>
    </row>
    <row r="1172" spans="1:14" ht="15" thickBot="1">
      <c r="A1172" s="281">
        <v>46302</v>
      </c>
      <c r="B1172" s="537" t="s">
        <v>777</v>
      </c>
      <c r="C1172" s="246">
        <v>532.70000000000005</v>
      </c>
      <c r="D1172" s="244">
        <v>524320.19999999995</v>
      </c>
      <c r="E1172" s="150"/>
      <c r="F1172" s="150"/>
      <c r="G1172" s="245">
        <f>G1171-D1172</f>
        <v>7040736.2400000002</v>
      </c>
      <c r="H1172" s="535" t="s">
        <v>10</v>
      </c>
      <c r="I1172" s="556" t="s">
        <v>119</v>
      </c>
      <c r="J1172" s="555" t="s">
        <v>446</v>
      </c>
      <c r="K1172" s="15"/>
      <c r="L1172" s="412" t="s">
        <v>437</v>
      </c>
      <c r="M1172" t="str">
        <f t="shared" ref="M1172:M1235" si="140">IF(E1172="","",IF(E1172=F1172,"OJOOO",""))</f>
        <v/>
      </c>
      <c r="N1172" t="str">
        <f t="shared" si="136"/>
        <v/>
      </c>
    </row>
    <row r="1173" spans="1:14" ht="15" thickBot="1">
      <c r="A1173" s="281">
        <v>46302</v>
      </c>
      <c r="B1173" s="536" t="s">
        <v>31</v>
      </c>
      <c r="C1173" s="246">
        <v>1.6</v>
      </c>
      <c r="D1173" s="244">
        <v>1572.96</v>
      </c>
      <c r="E1173" s="150"/>
      <c r="F1173" s="150"/>
      <c r="G1173" s="245">
        <f>G1172-D1173</f>
        <v>7039163.2800000003</v>
      </c>
      <c r="H1173" s="535" t="s">
        <v>25</v>
      </c>
      <c r="I1173" s="556" t="s">
        <v>116</v>
      </c>
      <c r="J1173" s="555" t="s">
        <v>25</v>
      </c>
      <c r="K1173" s="15"/>
      <c r="L1173" s="412" t="s">
        <v>437</v>
      </c>
      <c r="M1173" t="str">
        <f t="shared" si="140"/>
        <v/>
      </c>
      <c r="N1173" t="str">
        <f t="shared" si="136"/>
        <v/>
      </c>
    </row>
    <row r="1174" spans="1:14" ht="15" thickBot="1">
      <c r="A1174" s="281">
        <v>46302</v>
      </c>
      <c r="B1174" s="537" t="s">
        <v>778</v>
      </c>
      <c r="C1174" s="246">
        <v>443.92</v>
      </c>
      <c r="D1174" s="244">
        <v>436933.5</v>
      </c>
      <c r="E1174" s="150"/>
      <c r="F1174" s="150"/>
      <c r="G1174" s="245">
        <f>G1173-D1174</f>
        <v>6602229.7800000003</v>
      </c>
      <c r="H1174" s="535" t="s">
        <v>10</v>
      </c>
      <c r="I1174" s="556" t="s">
        <v>119</v>
      </c>
      <c r="J1174" s="555" t="s">
        <v>447</v>
      </c>
      <c r="K1174" s="15"/>
      <c r="L1174" s="412" t="s">
        <v>437</v>
      </c>
      <c r="M1174" t="str">
        <f t="shared" si="140"/>
        <v/>
      </c>
      <c r="N1174" t="str">
        <f t="shared" si="136"/>
        <v/>
      </c>
    </row>
    <row r="1175" spans="1:14" ht="15" thickBot="1">
      <c r="A1175" s="281">
        <v>46302</v>
      </c>
      <c r="B1175" s="536" t="s">
        <v>31</v>
      </c>
      <c r="C1175" s="246">
        <v>1.33</v>
      </c>
      <c r="D1175" s="244">
        <v>1310.8</v>
      </c>
      <c r="E1175" s="150"/>
      <c r="F1175" s="150"/>
      <c r="G1175" s="245">
        <f>G1174-D1175</f>
        <v>6600918.9800000004</v>
      </c>
      <c r="H1175" s="535" t="s">
        <v>25</v>
      </c>
      <c r="I1175" s="556" t="s">
        <v>116</v>
      </c>
      <c r="J1175" s="555" t="s">
        <v>25</v>
      </c>
      <c r="K1175" s="15"/>
      <c r="L1175" s="412" t="s">
        <v>437</v>
      </c>
      <c r="M1175" t="str">
        <f t="shared" si="140"/>
        <v/>
      </c>
      <c r="N1175" t="str">
        <f t="shared" si="136"/>
        <v/>
      </c>
    </row>
    <row r="1176" spans="1:14" ht="29.5" thickBot="1">
      <c r="A1176" s="281">
        <v>46302</v>
      </c>
      <c r="B1176" s="537" t="s">
        <v>779</v>
      </c>
      <c r="C1176" s="246">
        <v>2377.41</v>
      </c>
      <c r="D1176" s="244">
        <v>2340000</v>
      </c>
      <c r="E1176" s="150"/>
      <c r="F1176" s="150"/>
      <c r="G1176" s="245">
        <f>G1175-D1176</f>
        <v>4260918.9800000004</v>
      </c>
      <c r="H1176" s="535" t="s">
        <v>10</v>
      </c>
      <c r="I1176" s="556" t="s">
        <v>119</v>
      </c>
      <c r="J1176" s="555" t="s">
        <v>443</v>
      </c>
      <c r="K1176" s="15"/>
      <c r="L1176" s="412" t="s">
        <v>437</v>
      </c>
      <c r="M1176" t="str">
        <f t="shared" si="140"/>
        <v/>
      </c>
      <c r="N1176" t="str">
        <f t="shared" si="136"/>
        <v/>
      </c>
    </row>
    <row r="1177" spans="1:14" ht="29.5" thickBot="1">
      <c r="A1177" s="69">
        <v>46302</v>
      </c>
      <c r="B1177" s="378" t="s">
        <v>780</v>
      </c>
      <c r="C1177" s="72"/>
      <c r="D1177" s="73"/>
      <c r="E1177" s="70">
        <v>34.799999999999997</v>
      </c>
      <c r="F1177" s="72">
        <v>34252.239999999998</v>
      </c>
      <c r="G1177" s="74">
        <f>G1176+F1177</f>
        <v>4295171.2200000007</v>
      </c>
      <c r="H1177" s="75"/>
      <c r="I1177" s="556" t="s">
        <v>127</v>
      </c>
      <c r="J1177" s="555" t="s">
        <v>738</v>
      </c>
      <c r="K1177" s="555" t="s">
        <v>127</v>
      </c>
      <c r="L1177" s="117"/>
      <c r="M1177" t="str">
        <f t="shared" si="140"/>
        <v/>
      </c>
      <c r="N1177" t="str">
        <f t="shared" si="136"/>
        <v/>
      </c>
    </row>
    <row r="1178" spans="1:14" ht="29.5" thickBot="1">
      <c r="A1178" s="281">
        <v>46302</v>
      </c>
      <c r="B1178" s="537" t="s">
        <v>781</v>
      </c>
      <c r="C1178" s="246">
        <v>3381.48</v>
      </c>
      <c r="D1178" s="244">
        <v>3328262.29</v>
      </c>
      <c r="E1178" s="150"/>
      <c r="F1178" s="150"/>
      <c r="G1178" s="245">
        <f>G1177-D1178</f>
        <v>966908.93000000063</v>
      </c>
      <c r="H1178" s="535" t="s">
        <v>10</v>
      </c>
      <c r="I1178" s="556" t="s">
        <v>119</v>
      </c>
      <c r="J1178" s="555" t="s">
        <v>128</v>
      </c>
      <c r="K1178" s="15"/>
      <c r="L1178" s="412" t="s">
        <v>437</v>
      </c>
      <c r="M1178" t="str">
        <f t="shared" si="140"/>
        <v/>
      </c>
      <c r="N1178" t="str">
        <f t="shared" si="136"/>
        <v/>
      </c>
    </row>
    <row r="1179" spans="1:14" ht="15" thickBot="1">
      <c r="A1179" s="281">
        <v>46302</v>
      </c>
      <c r="B1179" s="536" t="s">
        <v>31</v>
      </c>
      <c r="C1179" s="246">
        <v>10.14</v>
      </c>
      <c r="D1179" s="244">
        <v>9984.7800000000007</v>
      </c>
      <c r="E1179" s="150"/>
      <c r="F1179" s="150"/>
      <c r="G1179" s="245">
        <f>G1178-D1179</f>
        <v>956924.15000000061</v>
      </c>
      <c r="H1179" s="535" t="s">
        <v>25</v>
      </c>
      <c r="I1179" s="556" t="s">
        <v>116</v>
      </c>
      <c r="J1179" s="555" t="s">
        <v>25</v>
      </c>
      <c r="K1179" s="15"/>
      <c r="L1179" s="412" t="s">
        <v>437</v>
      </c>
      <c r="M1179" t="str">
        <f t="shared" si="140"/>
        <v/>
      </c>
      <c r="N1179" t="str">
        <f t="shared" si="136"/>
        <v/>
      </c>
    </row>
    <row r="1180" spans="1:14" ht="15" thickBot="1">
      <c r="A1180" s="69">
        <v>46303</v>
      </c>
      <c r="B1180" s="70" t="s">
        <v>782</v>
      </c>
      <c r="C1180" s="72"/>
      <c r="D1180" s="73"/>
      <c r="E1180" s="70">
        <v>11.82</v>
      </c>
      <c r="F1180" s="72">
        <v>11574.91</v>
      </c>
      <c r="G1180" s="74">
        <f>G1179+F1180</f>
        <v>968499.06000000064</v>
      </c>
      <c r="H1180" s="75" t="s">
        <v>13</v>
      </c>
      <c r="I1180" s="556" t="s">
        <v>127</v>
      </c>
      <c r="J1180" s="555" t="s">
        <v>738</v>
      </c>
      <c r="K1180" s="555" t="s">
        <v>127</v>
      </c>
      <c r="L1180" s="117"/>
      <c r="M1180" t="str">
        <f t="shared" si="140"/>
        <v/>
      </c>
      <c r="N1180" t="str">
        <f t="shared" si="136"/>
        <v/>
      </c>
    </row>
    <row r="1181" spans="1:14" ht="15" thickBot="1">
      <c r="A1181" s="69">
        <v>46303</v>
      </c>
      <c r="B1181" s="70" t="s">
        <v>759</v>
      </c>
      <c r="C1181" s="72"/>
      <c r="D1181" s="73"/>
      <c r="E1181" s="70">
        <v>5.91</v>
      </c>
      <c r="F1181" s="72">
        <v>5787.47</v>
      </c>
      <c r="G1181" s="74">
        <f>G1180+F1181</f>
        <v>974286.53000000061</v>
      </c>
      <c r="H1181" s="75" t="s">
        <v>13</v>
      </c>
      <c r="I1181" s="556" t="s">
        <v>127</v>
      </c>
      <c r="J1181" s="555" t="s">
        <v>738</v>
      </c>
      <c r="K1181" s="555" t="s">
        <v>127</v>
      </c>
      <c r="L1181" s="117"/>
      <c r="M1181" t="str">
        <f t="shared" si="140"/>
        <v/>
      </c>
      <c r="N1181" t="str">
        <f t="shared" si="136"/>
        <v/>
      </c>
    </row>
    <row r="1182" spans="1:14" ht="15" thickBot="1">
      <c r="A1182" s="281">
        <v>46303</v>
      </c>
      <c r="B1182" s="492" t="s">
        <v>309</v>
      </c>
      <c r="C1182" s="246">
        <v>0.18</v>
      </c>
      <c r="D1182" s="244">
        <v>173.62</v>
      </c>
      <c r="E1182" s="150"/>
      <c r="F1182" s="150"/>
      <c r="G1182" s="245">
        <f>G1181-D1182</f>
        <v>974112.91000000061</v>
      </c>
      <c r="H1182" s="535" t="s">
        <v>25</v>
      </c>
      <c r="I1182" s="556" t="s">
        <v>116</v>
      </c>
      <c r="J1182" s="555" t="s">
        <v>25</v>
      </c>
      <c r="K1182" s="15"/>
      <c r="L1182" s="412" t="s">
        <v>437</v>
      </c>
      <c r="M1182" t="str">
        <f t="shared" si="140"/>
        <v/>
      </c>
      <c r="N1182" t="str">
        <f t="shared" si="136"/>
        <v/>
      </c>
    </row>
    <row r="1183" spans="1:14" ht="15" thickBot="1">
      <c r="A1183" s="281">
        <v>46303</v>
      </c>
      <c r="B1183" s="492" t="s">
        <v>309</v>
      </c>
      <c r="C1183" s="246">
        <v>0.09</v>
      </c>
      <c r="D1183" s="244">
        <v>86.81</v>
      </c>
      <c r="E1183" s="150"/>
      <c r="F1183" s="150"/>
      <c r="G1183" s="245">
        <f>G1182-D1183</f>
        <v>974026.10000000056</v>
      </c>
      <c r="H1183" s="535" t="s">
        <v>25</v>
      </c>
      <c r="I1183" s="556" t="s">
        <v>116</v>
      </c>
      <c r="J1183" s="555" t="s">
        <v>25</v>
      </c>
      <c r="K1183" s="15"/>
      <c r="L1183" s="412" t="s">
        <v>437</v>
      </c>
      <c r="M1183" t="str">
        <f t="shared" si="140"/>
        <v/>
      </c>
      <c r="N1183" t="str">
        <f t="shared" si="136"/>
        <v/>
      </c>
    </row>
    <row r="1184" spans="1:14" ht="15" thickBot="1">
      <c r="A1184" s="69">
        <v>46303</v>
      </c>
      <c r="B1184" s="70" t="s">
        <v>825</v>
      </c>
      <c r="C1184" s="72"/>
      <c r="D1184" s="73"/>
      <c r="E1184" s="381">
        <v>6754.54</v>
      </c>
      <c r="F1184" s="72">
        <v>6623606.1399999997</v>
      </c>
      <c r="G1184" s="74">
        <f>G1183+F1184</f>
        <v>7597632.2400000002</v>
      </c>
      <c r="H1184" s="75" t="s">
        <v>10</v>
      </c>
      <c r="I1184" s="556" t="s">
        <v>127</v>
      </c>
      <c r="J1184" s="555" t="s">
        <v>824</v>
      </c>
      <c r="K1184" s="555" t="s">
        <v>127</v>
      </c>
      <c r="L1184" s="117"/>
      <c r="M1184" t="str">
        <f t="shared" si="140"/>
        <v/>
      </c>
      <c r="N1184" t="str">
        <f t="shared" si="136"/>
        <v/>
      </c>
    </row>
    <row r="1185" spans="1:14" ht="29.5" thickBot="1">
      <c r="A1185" s="281">
        <v>46303</v>
      </c>
      <c r="B1185" s="537" t="s">
        <v>783</v>
      </c>
      <c r="C1185" s="246">
        <v>2093.67</v>
      </c>
      <c r="D1185" s="244">
        <v>2053083.71</v>
      </c>
      <c r="E1185" s="150"/>
      <c r="F1185" s="150"/>
      <c r="G1185" s="245">
        <f>G1184-D1185</f>
        <v>5544548.5300000003</v>
      </c>
      <c r="H1185" s="535" t="s">
        <v>10</v>
      </c>
      <c r="I1185" s="556" t="s">
        <v>119</v>
      </c>
      <c r="J1185" s="555" t="s">
        <v>446</v>
      </c>
      <c r="K1185" s="15"/>
      <c r="L1185" s="412" t="s">
        <v>437</v>
      </c>
      <c r="M1185" t="str">
        <f t="shared" si="140"/>
        <v/>
      </c>
      <c r="N1185" t="str">
        <f t="shared" si="136"/>
        <v/>
      </c>
    </row>
    <row r="1186" spans="1:14" ht="15" thickBot="1">
      <c r="A1186" s="281">
        <v>46303</v>
      </c>
      <c r="B1186" s="536" t="s">
        <v>31</v>
      </c>
      <c r="C1186" s="246">
        <v>6.28</v>
      </c>
      <c r="D1186" s="244">
        <v>6159.25</v>
      </c>
      <c r="E1186" s="150"/>
      <c r="F1186" s="150"/>
      <c r="G1186" s="245">
        <f>G1185-D1186</f>
        <v>5538389.2800000003</v>
      </c>
      <c r="H1186" s="535" t="s">
        <v>25</v>
      </c>
      <c r="I1186" s="556" t="s">
        <v>116</v>
      </c>
      <c r="J1186" s="555" t="s">
        <v>25</v>
      </c>
      <c r="K1186" s="15"/>
      <c r="L1186" s="412" t="s">
        <v>437</v>
      </c>
      <c r="M1186" t="str">
        <f t="shared" si="140"/>
        <v/>
      </c>
      <c r="N1186" t="str">
        <f t="shared" si="136"/>
        <v/>
      </c>
    </row>
    <row r="1187" spans="1:14" ht="15" thickBot="1">
      <c r="A1187" s="69">
        <v>46304</v>
      </c>
      <c r="B1187" s="70" t="s">
        <v>762</v>
      </c>
      <c r="C1187" s="72"/>
      <c r="D1187" s="73"/>
      <c r="E1187" s="70">
        <v>29.59</v>
      </c>
      <c r="F1187" s="72">
        <v>25906.46</v>
      </c>
      <c r="G1187" s="74">
        <f>G1186+F1187</f>
        <v>5564295.7400000002</v>
      </c>
      <c r="H1187" s="75" t="s">
        <v>13</v>
      </c>
      <c r="I1187" s="556" t="s">
        <v>127</v>
      </c>
      <c r="J1187" s="555" t="s">
        <v>738</v>
      </c>
      <c r="K1187" s="555" t="s">
        <v>127</v>
      </c>
      <c r="L1187" s="117"/>
      <c r="M1187" t="str">
        <f t="shared" si="140"/>
        <v/>
      </c>
      <c r="N1187" t="str">
        <f t="shared" si="136"/>
        <v/>
      </c>
    </row>
    <row r="1188" spans="1:14" ht="15" thickBot="1">
      <c r="A1188" s="69">
        <v>46304</v>
      </c>
      <c r="B1188" s="70" t="s">
        <v>784</v>
      </c>
      <c r="C1188" s="72"/>
      <c r="D1188" s="73"/>
      <c r="E1188" s="70">
        <v>29.59</v>
      </c>
      <c r="F1188" s="72">
        <v>25906.46</v>
      </c>
      <c r="G1188" s="74">
        <f>G1187+F1188</f>
        <v>5590202.2000000002</v>
      </c>
      <c r="H1188" s="75" t="s">
        <v>13</v>
      </c>
      <c r="I1188" s="556" t="s">
        <v>127</v>
      </c>
      <c r="J1188" s="555" t="s">
        <v>738</v>
      </c>
      <c r="K1188" s="555" t="s">
        <v>127</v>
      </c>
      <c r="L1188" s="117"/>
      <c r="M1188" t="str">
        <f t="shared" si="140"/>
        <v/>
      </c>
      <c r="N1188" t="str">
        <f t="shared" si="136"/>
        <v/>
      </c>
    </row>
    <row r="1189" spans="1:14" ht="15" thickBot="1">
      <c r="A1189" s="281">
        <v>46304</v>
      </c>
      <c r="B1189" s="536" t="s">
        <v>785</v>
      </c>
      <c r="C1189" s="246">
        <v>0.63</v>
      </c>
      <c r="D1189" s="244">
        <v>612.95000000000005</v>
      </c>
      <c r="E1189" s="150"/>
      <c r="F1189" s="150"/>
      <c r="G1189" s="245">
        <f>G1188-D1189</f>
        <v>5589589.25</v>
      </c>
      <c r="H1189" s="535" t="s">
        <v>25</v>
      </c>
      <c r="I1189" s="556" t="s">
        <v>116</v>
      </c>
      <c r="J1189" s="555" t="s">
        <v>25</v>
      </c>
      <c r="K1189" s="15"/>
      <c r="L1189" s="412" t="s">
        <v>437</v>
      </c>
      <c r="M1189" t="str">
        <f t="shared" si="140"/>
        <v/>
      </c>
      <c r="N1189" t="str">
        <f t="shared" si="136"/>
        <v/>
      </c>
    </row>
    <row r="1190" spans="1:14" ht="15" thickBot="1">
      <c r="A1190" s="69">
        <v>46304</v>
      </c>
      <c r="B1190" s="70" t="s">
        <v>826</v>
      </c>
      <c r="C1190" s="72"/>
      <c r="D1190" s="73"/>
      <c r="E1190" s="381">
        <v>6070.79</v>
      </c>
      <c r="F1190" s="72">
        <v>5953104.4000000004</v>
      </c>
      <c r="G1190" s="74">
        <f>G1189+F1190</f>
        <v>11542693.65</v>
      </c>
      <c r="H1190" s="75"/>
      <c r="I1190" s="556" t="s">
        <v>127</v>
      </c>
      <c r="J1190" s="555" t="s">
        <v>824</v>
      </c>
      <c r="K1190" s="555" t="s">
        <v>127</v>
      </c>
      <c r="L1190" s="117"/>
      <c r="M1190" t="str">
        <f t="shared" si="140"/>
        <v/>
      </c>
      <c r="N1190" t="str">
        <f t="shared" si="136"/>
        <v/>
      </c>
    </row>
    <row r="1191" spans="1:14" ht="29.5" thickBot="1">
      <c r="A1191" s="281">
        <v>46304</v>
      </c>
      <c r="B1191" s="537" t="s">
        <v>786</v>
      </c>
      <c r="C1191" s="246">
        <v>719.61</v>
      </c>
      <c r="D1191" s="244">
        <v>705662</v>
      </c>
      <c r="E1191" s="150"/>
      <c r="F1191" s="150"/>
      <c r="G1191" s="245">
        <f t="shared" ref="G1191:G1199" si="141">G1190-D1191</f>
        <v>10837031.65</v>
      </c>
      <c r="H1191" s="535" t="s">
        <v>10</v>
      </c>
      <c r="I1191" s="556" t="s">
        <v>119</v>
      </c>
      <c r="J1191" s="555" t="s">
        <v>128</v>
      </c>
      <c r="K1191" s="15"/>
      <c r="L1191" s="412" t="s">
        <v>437</v>
      </c>
      <c r="M1191" t="str">
        <f t="shared" si="140"/>
        <v/>
      </c>
      <c r="N1191" t="str">
        <f t="shared" si="136"/>
        <v/>
      </c>
    </row>
    <row r="1192" spans="1:14" ht="15" thickBot="1">
      <c r="A1192" s="281">
        <v>46304</v>
      </c>
      <c r="B1192" s="536" t="s">
        <v>31</v>
      </c>
      <c r="C1192" s="246">
        <v>2.16</v>
      </c>
      <c r="D1192" s="244">
        <v>2116.98</v>
      </c>
      <c r="E1192" s="150"/>
      <c r="F1192" s="150"/>
      <c r="G1192" s="245">
        <f t="shared" si="141"/>
        <v>10834914.67</v>
      </c>
      <c r="H1192" s="535" t="s">
        <v>25</v>
      </c>
      <c r="I1192" s="556" t="s">
        <v>116</v>
      </c>
      <c r="J1192" s="555" t="s">
        <v>25</v>
      </c>
      <c r="K1192" s="15"/>
      <c r="L1192" s="412" t="s">
        <v>437</v>
      </c>
      <c r="M1192" t="str">
        <f t="shared" si="140"/>
        <v/>
      </c>
      <c r="N1192" t="str">
        <f t="shared" si="136"/>
        <v/>
      </c>
    </row>
    <row r="1193" spans="1:14" ht="29.5" thickBot="1">
      <c r="A1193" s="281">
        <v>46304</v>
      </c>
      <c r="B1193" s="537" t="s">
        <v>787</v>
      </c>
      <c r="C1193" s="246">
        <v>354.08</v>
      </c>
      <c r="D1193" s="244">
        <v>347212.29</v>
      </c>
      <c r="E1193" s="150"/>
      <c r="F1193" s="150"/>
      <c r="G1193" s="245">
        <f t="shared" si="141"/>
        <v>10487702.380000001</v>
      </c>
      <c r="H1193" s="535" t="s">
        <v>10</v>
      </c>
      <c r="I1193" s="556" t="s">
        <v>119</v>
      </c>
      <c r="J1193" s="555" t="s">
        <v>128</v>
      </c>
      <c r="K1193" s="15"/>
      <c r="L1193" s="412" t="s">
        <v>437</v>
      </c>
      <c r="M1193" t="str">
        <f t="shared" si="140"/>
        <v/>
      </c>
      <c r="N1193" t="str">
        <f t="shared" si="136"/>
        <v/>
      </c>
    </row>
    <row r="1194" spans="1:14" ht="15" thickBot="1">
      <c r="A1194" s="281">
        <v>46304</v>
      </c>
      <c r="B1194" s="536" t="s">
        <v>31</v>
      </c>
      <c r="C1194" s="246">
        <v>1.06</v>
      </c>
      <c r="D1194" s="244">
        <v>1041.6300000000001</v>
      </c>
      <c r="E1194" s="150"/>
      <c r="F1194" s="150"/>
      <c r="G1194" s="245">
        <f t="shared" si="141"/>
        <v>10486660.75</v>
      </c>
      <c r="H1194" s="535" t="s">
        <v>25</v>
      </c>
      <c r="I1194" s="556" t="s">
        <v>116</v>
      </c>
      <c r="J1194" s="555" t="s">
        <v>25</v>
      </c>
      <c r="K1194" s="15"/>
      <c r="L1194" s="412" t="s">
        <v>437</v>
      </c>
      <c r="M1194" t="str">
        <f t="shared" si="140"/>
        <v/>
      </c>
      <c r="N1194" t="str">
        <f t="shared" si="136"/>
        <v/>
      </c>
    </row>
    <row r="1195" spans="1:14" ht="15" thickBot="1">
      <c r="A1195" s="281">
        <v>46304</v>
      </c>
      <c r="B1195" s="536" t="s">
        <v>788</v>
      </c>
      <c r="C1195" s="246">
        <v>2370.96</v>
      </c>
      <c r="D1195" s="244">
        <v>2325000</v>
      </c>
      <c r="E1195" s="150"/>
      <c r="F1195" s="150"/>
      <c r="G1195" s="245">
        <f t="shared" si="141"/>
        <v>8161660.75</v>
      </c>
      <c r="H1195" s="535" t="s">
        <v>10</v>
      </c>
      <c r="I1195" s="556" t="s">
        <v>116</v>
      </c>
      <c r="J1195" s="555" t="s">
        <v>118</v>
      </c>
      <c r="K1195" s="15"/>
      <c r="L1195" s="412" t="s">
        <v>437</v>
      </c>
      <c r="M1195" t="str">
        <f t="shared" si="140"/>
        <v/>
      </c>
      <c r="N1195" t="str">
        <f t="shared" si="136"/>
        <v/>
      </c>
    </row>
    <row r="1196" spans="1:14" ht="15" thickBot="1">
      <c r="A1196" s="281">
        <v>46304</v>
      </c>
      <c r="B1196" s="536" t="s">
        <v>31</v>
      </c>
      <c r="C1196" s="246">
        <v>7.11</v>
      </c>
      <c r="D1196" s="244">
        <v>6975</v>
      </c>
      <c r="E1196" s="150"/>
      <c r="F1196" s="150"/>
      <c r="G1196" s="245">
        <f t="shared" si="141"/>
        <v>8154685.75</v>
      </c>
      <c r="H1196" s="535" t="s">
        <v>25</v>
      </c>
      <c r="I1196" s="556" t="s">
        <v>116</v>
      </c>
      <c r="J1196" s="555" t="s">
        <v>25</v>
      </c>
      <c r="K1196" s="15"/>
      <c r="L1196" s="412" t="s">
        <v>437</v>
      </c>
      <c r="M1196" t="str">
        <f t="shared" si="140"/>
        <v/>
      </c>
      <c r="N1196" t="str">
        <f t="shared" si="136"/>
        <v/>
      </c>
    </row>
    <row r="1197" spans="1:14" ht="29.5" thickBot="1">
      <c r="A1197" s="281">
        <v>46304</v>
      </c>
      <c r="B1197" s="537" t="s">
        <v>789</v>
      </c>
      <c r="C1197" s="246">
        <v>1983.89</v>
      </c>
      <c r="D1197" s="244">
        <v>1945435.72</v>
      </c>
      <c r="E1197" s="150"/>
      <c r="F1197" s="150"/>
      <c r="G1197" s="245">
        <f t="shared" si="141"/>
        <v>6209250.0300000003</v>
      </c>
      <c r="H1197" s="535" t="s">
        <v>10</v>
      </c>
      <c r="I1197" s="556" t="s">
        <v>119</v>
      </c>
      <c r="J1197" s="555" t="s">
        <v>446</v>
      </c>
      <c r="K1197" s="15"/>
      <c r="L1197" s="412" t="s">
        <v>437</v>
      </c>
      <c r="M1197" t="str">
        <f t="shared" si="140"/>
        <v/>
      </c>
      <c r="N1197" t="str">
        <f t="shared" si="136"/>
        <v/>
      </c>
    </row>
    <row r="1198" spans="1:14" ht="15" thickBot="1">
      <c r="A1198" s="281">
        <v>46304</v>
      </c>
      <c r="B1198" s="536" t="s">
        <v>31</v>
      </c>
      <c r="C1198" s="246">
        <v>5.95</v>
      </c>
      <c r="D1198" s="244">
        <v>5836.3</v>
      </c>
      <c r="E1198" s="150"/>
      <c r="F1198" s="150"/>
      <c r="G1198" s="245">
        <f t="shared" si="141"/>
        <v>6203413.7300000004</v>
      </c>
      <c r="H1198" s="535" t="s">
        <v>25</v>
      </c>
      <c r="I1198" s="556" t="s">
        <v>116</v>
      </c>
      <c r="J1198" s="555" t="s">
        <v>25</v>
      </c>
      <c r="K1198" s="15"/>
      <c r="L1198" s="412" t="s">
        <v>437</v>
      </c>
      <c r="M1198" t="str">
        <f t="shared" si="140"/>
        <v/>
      </c>
      <c r="N1198" t="str">
        <f t="shared" si="136"/>
        <v/>
      </c>
    </row>
    <row r="1199" spans="1:14" ht="29.5" thickBot="1">
      <c r="A1199" s="281">
        <v>46305</v>
      </c>
      <c r="B1199" s="537" t="s">
        <v>790</v>
      </c>
      <c r="C1199" s="246">
        <v>55.45</v>
      </c>
      <c r="D1199" s="244">
        <v>54374</v>
      </c>
      <c r="E1199" s="150"/>
      <c r="F1199" s="150"/>
      <c r="G1199" s="245">
        <f t="shared" si="141"/>
        <v>6149039.7300000004</v>
      </c>
      <c r="H1199" s="535" t="s">
        <v>13</v>
      </c>
      <c r="I1199" s="556" t="s">
        <v>119</v>
      </c>
      <c r="J1199" s="555" t="s">
        <v>118</v>
      </c>
      <c r="K1199" s="15"/>
      <c r="L1199" s="412" t="s">
        <v>437</v>
      </c>
      <c r="M1199" t="str">
        <f t="shared" si="140"/>
        <v/>
      </c>
      <c r="N1199" t="str">
        <f t="shared" si="136"/>
        <v/>
      </c>
    </row>
    <row r="1200" spans="1:14" ht="15" thickBot="1">
      <c r="A1200" s="69">
        <v>46305</v>
      </c>
      <c r="B1200" s="70" t="s">
        <v>791</v>
      </c>
      <c r="C1200" s="72"/>
      <c r="D1200" s="73"/>
      <c r="E1200" s="70">
        <v>11.72</v>
      </c>
      <c r="F1200" s="72">
        <v>11491.01</v>
      </c>
      <c r="G1200" s="74">
        <f>G1199+F1200</f>
        <v>6160530.7400000002</v>
      </c>
      <c r="H1200" s="75" t="s">
        <v>13</v>
      </c>
      <c r="I1200" s="556" t="s">
        <v>127</v>
      </c>
      <c r="J1200" s="555" t="s">
        <v>738</v>
      </c>
      <c r="K1200" s="555" t="s">
        <v>127</v>
      </c>
      <c r="L1200" s="117"/>
      <c r="M1200" t="str">
        <f t="shared" si="140"/>
        <v/>
      </c>
      <c r="N1200" t="str">
        <f t="shared" si="136"/>
        <v/>
      </c>
    </row>
    <row r="1201" spans="1:14" ht="15" thickBot="1">
      <c r="A1201" s="69">
        <v>46305</v>
      </c>
      <c r="B1201" s="70" t="s">
        <v>763</v>
      </c>
      <c r="C1201" s="72"/>
      <c r="D1201" s="73"/>
      <c r="E1201" s="70">
        <v>2.94</v>
      </c>
      <c r="F1201" s="72">
        <v>2883.01</v>
      </c>
      <c r="G1201" s="74">
        <f>G1200+F1201</f>
        <v>6163413.75</v>
      </c>
      <c r="H1201" s="75" t="s">
        <v>13</v>
      </c>
      <c r="I1201" s="556" t="s">
        <v>127</v>
      </c>
      <c r="J1201" s="555" t="s">
        <v>738</v>
      </c>
      <c r="K1201" s="555" t="s">
        <v>127</v>
      </c>
      <c r="L1201" s="117"/>
      <c r="M1201" t="str">
        <f t="shared" si="140"/>
        <v/>
      </c>
      <c r="N1201" t="str">
        <f t="shared" si="136"/>
        <v/>
      </c>
    </row>
    <row r="1202" spans="1:14" ht="15" thickBot="1">
      <c r="A1202" s="281">
        <v>46305</v>
      </c>
      <c r="B1202" s="536" t="s">
        <v>792</v>
      </c>
      <c r="C1202" s="246">
        <v>0.63</v>
      </c>
      <c r="D1202" s="244">
        <v>612.95000000000005</v>
      </c>
      <c r="E1202" s="150"/>
      <c r="F1202" s="150"/>
      <c r="G1202" s="245">
        <f t="shared" ref="G1202:G1216" si="142">G1201-D1202</f>
        <v>6162800.7999999998</v>
      </c>
      <c r="H1202" s="535" t="s">
        <v>25</v>
      </c>
      <c r="I1202" s="556" t="s">
        <v>116</v>
      </c>
      <c r="J1202" s="555" t="s">
        <v>25</v>
      </c>
      <c r="K1202" s="15"/>
      <c r="L1202" s="412" t="s">
        <v>437</v>
      </c>
      <c r="M1202" t="str">
        <f t="shared" si="140"/>
        <v/>
      </c>
      <c r="N1202" t="str">
        <f t="shared" si="136"/>
        <v/>
      </c>
    </row>
    <row r="1203" spans="1:14" ht="15" thickBot="1">
      <c r="A1203" s="281">
        <v>46305</v>
      </c>
      <c r="B1203" s="536" t="s">
        <v>793</v>
      </c>
      <c r="C1203" s="246">
        <v>3.57</v>
      </c>
      <c r="D1203" s="244">
        <v>3500</v>
      </c>
      <c r="E1203" s="150"/>
      <c r="F1203" s="150"/>
      <c r="G1203" s="245">
        <f t="shared" si="142"/>
        <v>6159300.7999999998</v>
      </c>
      <c r="H1203" s="535" t="s">
        <v>13</v>
      </c>
      <c r="I1203" s="556" t="s">
        <v>119</v>
      </c>
      <c r="J1203" s="555" t="s">
        <v>118</v>
      </c>
      <c r="K1203" s="15"/>
      <c r="L1203" s="412" t="s">
        <v>437</v>
      </c>
      <c r="M1203" t="str">
        <f t="shared" si="140"/>
        <v/>
      </c>
      <c r="N1203" t="str">
        <f t="shared" si="136"/>
        <v/>
      </c>
    </row>
    <row r="1204" spans="1:14" ht="15" thickBot="1">
      <c r="A1204" s="281">
        <v>46305</v>
      </c>
      <c r="B1204" s="536" t="s">
        <v>794</v>
      </c>
      <c r="C1204" s="246">
        <v>3.57</v>
      </c>
      <c r="D1204" s="244">
        <v>3500</v>
      </c>
      <c r="E1204" s="150"/>
      <c r="F1204" s="150"/>
      <c r="G1204" s="245">
        <f t="shared" si="142"/>
        <v>6155800.7999999998</v>
      </c>
      <c r="H1204" s="535" t="s">
        <v>13</v>
      </c>
      <c r="I1204" s="556" t="s">
        <v>119</v>
      </c>
      <c r="J1204" s="555" t="s">
        <v>118</v>
      </c>
      <c r="K1204" s="15"/>
      <c r="L1204" s="412" t="s">
        <v>437</v>
      </c>
      <c r="M1204" t="str">
        <f t="shared" si="140"/>
        <v/>
      </c>
      <c r="N1204" t="str">
        <f t="shared" si="136"/>
        <v/>
      </c>
    </row>
    <row r="1205" spans="1:14" ht="15" thickBot="1">
      <c r="A1205" s="281">
        <v>46305</v>
      </c>
      <c r="B1205" s="536" t="s">
        <v>801</v>
      </c>
      <c r="C1205" s="246">
        <v>3.57</v>
      </c>
      <c r="D1205" s="244">
        <v>3500</v>
      </c>
      <c r="E1205" s="150"/>
      <c r="F1205" s="150"/>
      <c r="G1205" s="245">
        <f t="shared" si="142"/>
        <v>6152300.7999999998</v>
      </c>
      <c r="H1205" s="535" t="s">
        <v>13</v>
      </c>
      <c r="I1205" s="556" t="s">
        <v>119</v>
      </c>
      <c r="J1205" s="555" t="s">
        <v>118</v>
      </c>
      <c r="K1205" s="15"/>
      <c r="L1205" s="412" t="s">
        <v>437</v>
      </c>
      <c r="M1205" t="str">
        <f t="shared" si="140"/>
        <v/>
      </c>
      <c r="N1205" t="str">
        <f t="shared" si="136"/>
        <v/>
      </c>
    </row>
    <row r="1206" spans="1:14" ht="29.5" thickBot="1">
      <c r="A1206" s="281">
        <v>46305</v>
      </c>
      <c r="B1206" s="537" t="s">
        <v>795</v>
      </c>
      <c r="C1206" s="246">
        <v>4.03</v>
      </c>
      <c r="D1206" s="244">
        <v>3947</v>
      </c>
      <c r="E1206" s="150"/>
      <c r="F1206" s="150"/>
      <c r="G1206" s="245">
        <f t="shared" si="142"/>
        <v>6148353.7999999998</v>
      </c>
      <c r="H1206" s="535" t="s">
        <v>13</v>
      </c>
      <c r="I1206" s="556" t="s">
        <v>119</v>
      </c>
      <c r="J1206" s="555" t="s">
        <v>118</v>
      </c>
      <c r="K1206" s="15"/>
      <c r="L1206" s="412" t="s">
        <v>437</v>
      </c>
      <c r="M1206" t="str">
        <f t="shared" si="140"/>
        <v/>
      </c>
      <c r="N1206" t="str">
        <f t="shared" si="136"/>
        <v/>
      </c>
    </row>
    <row r="1207" spans="1:14" ht="29.5" thickBot="1">
      <c r="A1207" s="281">
        <v>46305</v>
      </c>
      <c r="B1207" s="537" t="s">
        <v>795</v>
      </c>
      <c r="C1207" s="246">
        <v>38</v>
      </c>
      <c r="D1207" s="244">
        <v>37268.25</v>
      </c>
      <c r="E1207" s="150"/>
      <c r="F1207" s="150"/>
      <c r="G1207" s="245">
        <f t="shared" si="142"/>
        <v>6111085.5499999998</v>
      </c>
      <c r="H1207" s="535" t="s">
        <v>13</v>
      </c>
      <c r="I1207" s="556" t="s">
        <v>119</v>
      </c>
      <c r="J1207" s="555" t="s">
        <v>118</v>
      </c>
      <c r="K1207" s="15"/>
      <c r="L1207" s="412" t="s">
        <v>437</v>
      </c>
      <c r="M1207" t="str">
        <f t="shared" si="140"/>
        <v/>
      </c>
      <c r="N1207" t="str">
        <f t="shared" si="136"/>
        <v/>
      </c>
    </row>
    <row r="1208" spans="1:14" ht="15" thickBot="1">
      <c r="A1208" s="281">
        <v>46305</v>
      </c>
      <c r="B1208" s="536" t="s">
        <v>796</v>
      </c>
      <c r="C1208" s="246">
        <v>638.4</v>
      </c>
      <c r="D1208" s="244">
        <v>626028.06000000006</v>
      </c>
      <c r="E1208" s="150"/>
      <c r="F1208" s="150"/>
      <c r="G1208" s="245">
        <f t="shared" si="142"/>
        <v>5485057.4900000002</v>
      </c>
      <c r="H1208" s="535" t="s">
        <v>13</v>
      </c>
      <c r="I1208" s="556" t="s">
        <v>119</v>
      </c>
      <c r="J1208" s="555" t="s">
        <v>118</v>
      </c>
      <c r="K1208" s="15"/>
      <c r="L1208" s="412" t="s">
        <v>437</v>
      </c>
      <c r="M1208" t="str">
        <f t="shared" si="140"/>
        <v/>
      </c>
      <c r="N1208" t="str">
        <f t="shared" si="136"/>
        <v/>
      </c>
    </row>
    <row r="1209" spans="1:14" ht="15" thickBot="1">
      <c r="A1209" s="539">
        <v>46305</v>
      </c>
      <c r="B1209" s="545" t="s">
        <v>797</v>
      </c>
      <c r="C1209" s="540">
        <v>15.19</v>
      </c>
      <c r="D1209" s="541">
        <v>14897</v>
      </c>
      <c r="E1209" s="542"/>
      <c r="F1209" s="542"/>
      <c r="G1209" s="543">
        <f t="shared" si="142"/>
        <v>5470160.4900000002</v>
      </c>
      <c r="H1209" s="544" t="s">
        <v>13</v>
      </c>
      <c r="I1209" s="556" t="s">
        <v>119</v>
      </c>
      <c r="J1209" s="555" t="s">
        <v>118</v>
      </c>
      <c r="K1209" s="15"/>
      <c r="L1209" s="412" t="s">
        <v>437</v>
      </c>
      <c r="M1209" t="str">
        <f t="shared" si="140"/>
        <v/>
      </c>
      <c r="N1209" t="str">
        <f t="shared" si="136"/>
        <v/>
      </c>
    </row>
    <row r="1210" spans="1:14" ht="15" thickBot="1">
      <c r="A1210" s="281">
        <v>46305</v>
      </c>
      <c r="B1210" s="536" t="s">
        <v>798</v>
      </c>
      <c r="C1210" s="246">
        <v>2.68</v>
      </c>
      <c r="D1210" s="244">
        <v>2630.4</v>
      </c>
      <c r="E1210" s="150"/>
      <c r="F1210" s="150"/>
      <c r="G1210" s="245">
        <f t="shared" si="142"/>
        <v>5467530.0899999999</v>
      </c>
      <c r="H1210" s="535" t="s">
        <v>13</v>
      </c>
      <c r="I1210" s="556" t="s">
        <v>119</v>
      </c>
      <c r="J1210" s="555" t="s">
        <v>118</v>
      </c>
      <c r="K1210" s="15"/>
      <c r="L1210" s="412" t="s">
        <v>437</v>
      </c>
      <c r="M1210" t="str">
        <f t="shared" si="140"/>
        <v/>
      </c>
      <c r="N1210" t="str">
        <f t="shared" si="136"/>
        <v/>
      </c>
    </row>
    <row r="1211" spans="1:14" ht="15" thickBot="1">
      <c r="A1211" s="281">
        <v>46305</v>
      </c>
      <c r="B1211" s="536" t="s">
        <v>799</v>
      </c>
      <c r="C1211" s="246">
        <v>1019.77</v>
      </c>
      <c r="D1211" s="244">
        <v>1000000</v>
      </c>
      <c r="E1211" s="150"/>
      <c r="F1211" s="150"/>
      <c r="G1211" s="245">
        <f t="shared" si="142"/>
        <v>4467530.09</v>
      </c>
      <c r="H1211" s="535" t="s">
        <v>10</v>
      </c>
      <c r="I1211" s="556" t="s">
        <v>119</v>
      </c>
      <c r="J1211" s="555" t="s">
        <v>118</v>
      </c>
      <c r="K1211" s="15"/>
      <c r="L1211" s="412" t="s">
        <v>437</v>
      </c>
      <c r="M1211" t="str">
        <f t="shared" si="140"/>
        <v/>
      </c>
      <c r="N1211" t="str">
        <f t="shared" si="136"/>
        <v/>
      </c>
    </row>
    <row r="1212" spans="1:14" ht="15" thickBot="1">
      <c r="A1212" s="281">
        <v>46305</v>
      </c>
      <c r="B1212" s="536" t="s">
        <v>794</v>
      </c>
      <c r="C1212" s="246">
        <v>3.57</v>
      </c>
      <c r="D1212" s="244">
        <v>3500</v>
      </c>
      <c r="E1212" s="150"/>
      <c r="F1212" s="150"/>
      <c r="G1212" s="245">
        <f t="shared" si="142"/>
        <v>4464030.09</v>
      </c>
      <c r="H1212" s="535" t="s">
        <v>13</v>
      </c>
      <c r="I1212" s="556" t="s">
        <v>119</v>
      </c>
      <c r="J1212" s="555" t="s">
        <v>118</v>
      </c>
      <c r="K1212" s="15"/>
      <c r="L1212" s="412" t="s">
        <v>437</v>
      </c>
      <c r="M1212" t="str">
        <f t="shared" si="140"/>
        <v/>
      </c>
      <c r="N1212" t="str">
        <f t="shared" si="136"/>
        <v/>
      </c>
    </row>
    <row r="1213" spans="1:14" ht="15" thickBot="1">
      <c r="A1213" s="281">
        <v>46305</v>
      </c>
      <c r="B1213" s="536" t="s">
        <v>800</v>
      </c>
      <c r="C1213" s="246">
        <v>16.07</v>
      </c>
      <c r="D1213" s="244">
        <v>15761.7</v>
      </c>
      <c r="E1213" s="150"/>
      <c r="F1213" s="150"/>
      <c r="G1213" s="245">
        <f t="shared" si="142"/>
        <v>4448268.3899999997</v>
      </c>
      <c r="H1213" s="535" t="s">
        <v>13</v>
      </c>
      <c r="I1213" s="556" t="s">
        <v>119</v>
      </c>
      <c r="J1213" s="555" t="s">
        <v>118</v>
      </c>
      <c r="K1213" s="15"/>
      <c r="L1213" s="412" t="s">
        <v>437</v>
      </c>
      <c r="M1213" t="str">
        <f t="shared" si="140"/>
        <v/>
      </c>
      <c r="N1213" t="str">
        <f t="shared" si="136"/>
        <v/>
      </c>
    </row>
    <row r="1214" spans="1:14" ht="15" thickBot="1">
      <c r="A1214" s="281">
        <v>46305</v>
      </c>
      <c r="B1214" s="536" t="s">
        <v>801</v>
      </c>
      <c r="C1214" s="246">
        <v>3.57</v>
      </c>
      <c r="D1214" s="244">
        <v>3500</v>
      </c>
      <c r="E1214" s="150"/>
      <c r="F1214" s="150"/>
      <c r="G1214" s="245">
        <f t="shared" si="142"/>
        <v>4444768.3899999997</v>
      </c>
      <c r="H1214" s="535" t="s">
        <v>13</v>
      </c>
      <c r="I1214" s="556" t="s">
        <v>119</v>
      </c>
      <c r="J1214" s="555" t="s">
        <v>118</v>
      </c>
      <c r="K1214" s="15"/>
      <c r="L1214" s="412" t="s">
        <v>437</v>
      </c>
      <c r="M1214" t="str">
        <f t="shared" si="140"/>
        <v/>
      </c>
      <c r="N1214" t="str">
        <f t="shared" si="136"/>
        <v/>
      </c>
    </row>
    <row r="1215" spans="1:14" ht="15" thickBot="1">
      <c r="A1215" s="281">
        <v>46305</v>
      </c>
      <c r="B1215" s="536" t="s">
        <v>793</v>
      </c>
      <c r="C1215" s="246">
        <v>3.57</v>
      </c>
      <c r="D1215" s="244">
        <v>3500</v>
      </c>
      <c r="E1215" s="150"/>
      <c r="F1215" s="150"/>
      <c r="G1215" s="245">
        <f t="shared" si="142"/>
        <v>4441268.3899999997</v>
      </c>
      <c r="H1215" s="535" t="s">
        <v>13</v>
      </c>
      <c r="I1215" s="556" t="s">
        <v>119</v>
      </c>
      <c r="J1215" s="555" t="s">
        <v>118</v>
      </c>
      <c r="K1215" s="15"/>
      <c r="L1215" s="412" t="s">
        <v>437</v>
      </c>
      <c r="M1215" t="str">
        <f t="shared" si="140"/>
        <v/>
      </c>
      <c r="N1215" t="str">
        <f t="shared" si="136"/>
        <v/>
      </c>
    </row>
    <row r="1216" spans="1:14" ht="15" thickBot="1">
      <c r="A1216" s="281">
        <v>46305</v>
      </c>
      <c r="B1216" s="536" t="s">
        <v>801</v>
      </c>
      <c r="C1216" s="246">
        <v>3.57</v>
      </c>
      <c r="D1216" s="244">
        <v>3500</v>
      </c>
      <c r="E1216" s="150"/>
      <c r="F1216" s="150"/>
      <c r="G1216" s="245">
        <f t="shared" si="142"/>
        <v>4437768.3899999997</v>
      </c>
      <c r="H1216" s="535" t="s">
        <v>13</v>
      </c>
      <c r="I1216" s="556" t="s">
        <v>119</v>
      </c>
      <c r="J1216" s="555" t="s">
        <v>118</v>
      </c>
      <c r="K1216" s="15"/>
      <c r="L1216" s="412" t="s">
        <v>437</v>
      </c>
      <c r="M1216" t="str">
        <f t="shared" si="140"/>
        <v/>
      </c>
      <c r="N1216" t="str">
        <f t="shared" si="136"/>
        <v/>
      </c>
    </row>
    <row r="1217" spans="1:14" ht="15" thickBot="1">
      <c r="A1217" s="69">
        <v>46305</v>
      </c>
      <c r="B1217" s="70" t="s">
        <v>802</v>
      </c>
      <c r="C1217" s="72"/>
      <c r="D1217" s="73"/>
      <c r="E1217" s="70">
        <v>18.239999999999998</v>
      </c>
      <c r="F1217" s="72">
        <v>17886.72</v>
      </c>
      <c r="G1217" s="74">
        <f>G1216+F1217</f>
        <v>4455655.1099999994</v>
      </c>
      <c r="H1217" s="75" t="s">
        <v>10</v>
      </c>
      <c r="I1217" s="556" t="s">
        <v>127</v>
      </c>
      <c r="J1217" s="555" t="s">
        <v>824</v>
      </c>
      <c r="K1217" s="555" t="s">
        <v>127</v>
      </c>
      <c r="L1217" s="117"/>
      <c r="M1217" t="str">
        <f t="shared" si="140"/>
        <v/>
      </c>
      <c r="N1217" t="str">
        <f t="shared" si="136"/>
        <v/>
      </c>
    </row>
    <row r="1218" spans="1:14" ht="15" thickBot="1">
      <c r="A1218" s="69">
        <v>46306</v>
      </c>
      <c r="B1218" s="70" t="s">
        <v>803</v>
      </c>
      <c r="C1218" s="72"/>
      <c r="D1218" s="73"/>
      <c r="E1218" s="70">
        <v>23.53</v>
      </c>
      <c r="F1218" s="72">
        <v>23074.76</v>
      </c>
      <c r="G1218" s="74">
        <f t="shared" ref="G1218:G1219" si="143">G1217+F1218</f>
        <v>4478729.8699999992</v>
      </c>
      <c r="H1218" s="75" t="s">
        <v>13</v>
      </c>
      <c r="I1218" s="556" t="s">
        <v>127</v>
      </c>
      <c r="J1218" s="555" t="s">
        <v>738</v>
      </c>
      <c r="K1218" s="555" t="s">
        <v>127</v>
      </c>
      <c r="L1218" s="117"/>
      <c r="M1218" t="str">
        <f t="shared" si="140"/>
        <v/>
      </c>
      <c r="N1218" t="str">
        <f t="shared" si="136"/>
        <v/>
      </c>
    </row>
    <row r="1219" spans="1:14" ht="15" thickBot="1">
      <c r="A1219" s="69">
        <v>46306</v>
      </c>
      <c r="B1219" s="70" t="s">
        <v>766</v>
      </c>
      <c r="C1219" s="72"/>
      <c r="D1219" s="73"/>
      <c r="E1219" s="70">
        <v>14.06</v>
      </c>
      <c r="F1219" s="72">
        <v>13785.99</v>
      </c>
      <c r="G1219" s="74">
        <f t="shared" si="143"/>
        <v>4492515.8599999994</v>
      </c>
      <c r="H1219" s="75" t="s">
        <v>13</v>
      </c>
      <c r="I1219" s="556" t="s">
        <v>127</v>
      </c>
      <c r="J1219" s="555" t="s">
        <v>738</v>
      </c>
      <c r="K1219" s="555" t="s">
        <v>127</v>
      </c>
      <c r="L1219" s="117"/>
      <c r="M1219" t="str">
        <f t="shared" si="140"/>
        <v/>
      </c>
      <c r="N1219" t="str">
        <f t="shared" si="136"/>
        <v/>
      </c>
    </row>
    <row r="1220" spans="1:14" ht="15" thickBot="1">
      <c r="A1220" s="281">
        <v>46306</v>
      </c>
      <c r="B1220" s="536" t="s">
        <v>804</v>
      </c>
      <c r="C1220" s="246">
        <v>0.63</v>
      </c>
      <c r="D1220" s="244">
        <v>612.95000000000005</v>
      </c>
      <c r="E1220" s="150"/>
      <c r="F1220" s="150"/>
      <c r="G1220" s="245">
        <f>G1219-D1220</f>
        <v>4491902.9099999992</v>
      </c>
      <c r="H1220" s="535" t="s">
        <v>25</v>
      </c>
      <c r="I1220" s="556" t="s">
        <v>116</v>
      </c>
      <c r="J1220" s="555" t="s">
        <v>25</v>
      </c>
      <c r="K1220" s="15"/>
      <c r="L1220" s="412" t="s">
        <v>437</v>
      </c>
      <c r="M1220" t="str">
        <f t="shared" si="140"/>
        <v/>
      </c>
      <c r="N1220" t="str">
        <f t="shared" ref="N1220:N1240" si="144">IF(C1220="","",IF(C1220=D1220,"OJOOO",""))</f>
        <v/>
      </c>
    </row>
    <row r="1221" spans="1:14" ht="15" thickBot="1">
      <c r="A1221" s="69">
        <v>46307</v>
      </c>
      <c r="B1221" s="70" t="s">
        <v>775</v>
      </c>
      <c r="C1221" s="72"/>
      <c r="D1221" s="73"/>
      <c r="E1221" s="70">
        <v>11.76</v>
      </c>
      <c r="F1221" s="72">
        <v>11532.02</v>
      </c>
      <c r="G1221" s="74">
        <f>G1220+F1221</f>
        <v>4503434.9299999988</v>
      </c>
      <c r="H1221" s="75" t="s">
        <v>13</v>
      </c>
      <c r="I1221" s="556" t="s">
        <v>127</v>
      </c>
      <c r="J1221" s="555" t="s">
        <v>738</v>
      </c>
      <c r="K1221" s="555" t="s">
        <v>127</v>
      </c>
      <c r="L1221" s="117"/>
      <c r="M1221" t="str">
        <f t="shared" si="140"/>
        <v/>
      </c>
      <c r="N1221" t="str">
        <f t="shared" si="144"/>
        <v/>
      </c>
    </row>
    <row r="1222" spans="1:14" ht="15" thickBot="1">
      <c r="A1222" s="69">
        <v>46307</v>
      </c>
      <c r="B1222" s="70" t="s">
        <v>805</v>
      </c>
      <c r="C1222" s="72"/>
      <c r="D1222" s="73"/>
      <c r="E1222" s="70">
        <v>11.76</v>
      </c>
      <c r="F1222" s="72">
        <v>11532.02</v>
      </c>
      <c r="G1222" s="74">
        <f>G1221+F1222</f>
        <v>4514966.9499999983</v>
      </c>
      <c r="H1222" s="75" t="s">
        <v>13</v>
      </c>
      <c r="I1222" s="556" t="s">
        <v>127</v>
      </c>
      <c r="J1222" s="555" t="s">
        <v>738</v>
      </c>
      <c r="K1222" s="555" t="s">
        <v>127</v>
      </c>
      <c r="L1222" s="117"/>
      <c r="M1222" t="str">
        <f t="shared" si="140"/>
        <v/>
      </c>
      <c r="N1222" t="str">
        <f t="shared" si="144"/>
        <v/>
      </c>
    </row>
    <row r="1223" spans="1:14" ht="15" thickBot="1">
      <c r="A1223" s="281">
        <v>46307</v>
      </c>
      <c r="B1223" s="536" t="s">
        <v>806</v>
      </c>
      <c r="C1223" s="246">
        <v>0.63</v>
      </c>
      <c r="D1223" s="244">
        <v>612.95000000000005</v>
      </c>
      <c r="E1223" s="150"/>
      <c r="F1223" s="150"/>
      <c r="G1223" s="245">
        <f>G1222-D1223</f>
        <v>4514353.9999999981</v>
      </c>
      <c r="H1223" s="535" t="s">
        <v>25</v>
      </c>
      <c r="I1223" s="556" t="s">
        <v>116</v>
      </c>
      <c r="J1223" s="555" t="s">
        <v>25</v>
      </c>
      <c r="K1223" s="15"/>
      <c r="L1223" s="412" t="s">
        <v>437</v>
      </c>
      <c r="M1223" t="str">
        <f t="shared" si="140"/>
        <v/>
      </c>
      <c r="N1223" t="str">
        <f t="shared" si="144"/>
        <v/>
      </c>
    </row>
    <row r="1224" spans="1:14" ht="15" thickBot="1">
      <c r="A1224" s="69">
        <v>46307</v>
      </c>
      <c r="B1224" s="378" t="s">
        <v>807</v>
      </c>
      <c r="C1224" s="72"/>
      <c r="D1224" s="73"/>
      <c r="E1224" s="381">
        <v>1019.77</v>
      </c>
      <c r="F1224" s="72">
        <v>1000000</v>
      </c>
      <c r="G1224" s="74">
        <f>G1223+F1224</f>
        <v>5514353.9999999981</v>
      </c>
      <c r="H1224" s="75" t="s">
        <v>10</v>
      </c>
      <c r="I1224" s="556" t="s">
        <v>116</v>
      </c>
      <c r="J1224" s="555" t="s">
        <v>823</v>
      </c>
      <c r="K1224" s="555" t="s">
        <v>127</v>
      </c>
      <c r="L1224" s="117"/>
      <c r="M1224" t="str">
        <f t="shared" si="140"/>
        <v/>
      </c>
      <c r="N1224" t="str">
        <f t="shared" si="144"/>
        <v/>
      </c>
    </row>
    <row r="1225" spans="1:14" ht="15" thickBot="1">
      <c r="A1225" s="281">
        <v>46307</v>
      </c>
      <c r="B1225" s="536" t="s">
        <v>808</v>
      </c>
      <c r="C1225" s="246">
        <v>25.93</v>
      </c>
      <c r="D1225" s="244">
        <v>25427</v>
      </c>
      <c r="E1225" s="150"/>
      <c r="F1225" s="150"/>
      <c r="G1225" s="245">
        <f t="shared" ref="G1225:G1231" si="145">G1224-D1225</f>
        <v>5488926.9999999981</v>
      </c>
      <c r="H1225" s="535" t="s">
        <v>13</v>
      </c>
      <c r="I1225" s="556" t="s">
        <v>116</v>
      </c>
      <c r="J1225" s="555" t="s">
        <v>269</v>
      </c>
      <c r="K1225" s="15"/>
      <c r="L1225" s="412" t="s">
        <v>437</v>
      </c>
      <c r="M1225" t="str">
        <f t="shared" si="140"/>
        <v/>
      </c>
      <c r="N1225" t="str">
        <f t="shared" si="144"/>
        <v/>
      </c>
    </row>
    <row r="1226" spans="1:14" ht="15" thickBot="1">
      <c r="A1226" s="281">
        <v>46307</v>
      </c>
      <c r="B1226" s="536" t="s">
        <v>809</v>
      </c>
      <c r="C1226" s="246">
        <v>191.87</v>
      </c>
      <c r="D1226" s="244">
        <v>188152.52</v>
      </c>
      <c r="E1226" s="150"/>
      <c r="F1226" s="150"/>
      <c r="G1226" s="245">
        <f t="shared" si="145"/>
        <v>5300774.4799999986</v>
      </c>
      <c r="H1226" s="535" t="s">
        <v>13</v>
      </c>
      <c r="I1226" s="556" t="s">
        <v>119</v>
      </c>
      <c r="J1226" s="555" t="s">
        <v>118</v>
      </c>
      <c r="K1226" s="15"/>
      <c r="L1226" s="412" t="s">
        <v>437</v>
      </c>
      <c r="M1226" t="str">
        <f t="shared" si="140"/>
        <v/>
      </c>
      <c r="N1226" t="str">
        <f t="shared" si="144"/>
        <v/>
      </c>
    </row>
    <row r="1227" spans="1:14" ht="15" thickBot="1">
      <c r="A1227" s="281">
        <v>46307</v>
      </c>
      <c r="B1227" s="536" t="s">
        <v>810</v>
      </c>
      <c r="C1227" s="246">
        <v>31.29</v>
      </c>
      <c r="D1227" s="244">
        <v>30688</v>
      </c>
      <c r="E1227" s="150"/>
      <c r="F1227" s="150"/>
      <c r="G1227" s="245">
        <f t="shared" si="145"/>
        <v>5270086.4799999986</v>
      </c>
      <c r="H1227" s="535" t="s">
        <v>13</v>
      </c>
      <c r="I1227" s="556" t="s">
        <v>119</v>
      </c>
      <c r="J1227" s="555" t="s">
        <v>118</v>
      </c>
      <c r="K1227" s="15"/>
      <c r="L1227" s="412" t="s">
        <v>437</v>
      </c>
      <c r="M1227" t="str">
        <f t="shared" si="140"/>
        <v/>
      </c>
      <c r="N1227" t="str">
        <f t="shared" si="144"/>
        <v/>
      </c>
    </row>
    <row r="1228" spans="1:14" ht="15" thickBot="1">
      <c r="A1228" s="281">
        <v>46307</v>
      </c>
      <c r="B1228" s="536" t="s">
        <v>811</v>
      </c>
      <c r="C1228" s="246">
        <v>54.92</v>
      </c>
      <c r="D1228" s="244">
        <v>53852.47</v>
      </c>
      <c r="E1228" s="150"/>
      <c r="F1228" s="150"/>
      <c r="G1228" s="245">
        <f t="shared" si="145"/>
        <v>5216234.0099999988</v>
      </c>
      <c r="H1228" s="535" t="s">
        <v>13</v>
      </c>
      <c r="I1228" s="556" t="s">
        <v>116</v>
      </c>
      <c r="J1228" s="555" t="s">
        <v>117</v>
      </c>
      <c r="K1228" s="15"/>
      <c r="L1228" s="412" t="s">
        <v>437</v>
      </c>
      <c r="M1228" t="str">
        <f t="shared" si="140"/>
        <v/>
      </c>
      <c r="N1228" t="str">
        <f t="shared" si="144"/>
        <v/>
      </c>
    </row>
    <row r="1229" spans="1:14" ht="15" thickBot="1">
      <c r="A1229" s="281">
        <v>46307</v>
      </c>
      <c r="B1229" s="536" t="s">
        <v>812</v>
      </c>
      <c r="C1229" s="246">
        <v>7.6</v>
      </c>
      <c r="D1229" s="244">
        <v>7451.78</v>
      </c>
      <c r="E1229" s="150"/>
      <c r="F1229" s="150"/>
      <c r="G1229" s="245">
        <f t="shared" si="145"/>
        <v>5208782.2299999986</v>
      </c>
      <c r="H1229" s="535" t="s">
        <v>13</v>
      </c>
      <c r="I1229" s="556" t="s">
        <v>116</v>
      </c>
      <c r="J1229" s="555" t="s">
        <v>117</v>
      </c>
      <c r="K1229" s="15"/>
      <c r="L1229" s="412" t="s">
        <v>437</v>
      </c>
      <c r="M1229" t="str">
        <f t="shared" si="140"/>
        <v/>
      </c>
      <c r="N1229" t="str">
        <f t="shared" si="144"/>
        <v/>
      </c>
    </row>
    <row r="1230" spans="1:14" ht="15" thickBot="1">
      <c r="A1230" s="281">
        <v>46307</v>
      </c>
      <c r="B1230" s="536" t="s">
        <v>813</v>
      </c>
      <c r="C1230" s="246">
        <v>12.95</v>
      </c>
      <c r="D1230" s="244">
        <v>12696.93</v>
      </c>
      <c r="E1230" s="150"/>
      <c r="F1230" s="150"/>
      <c r="G1230" s="245">
        <f t="shared" si="145"/>
        <v>5196085.2999999989</v>
      </c>
      <c r="H1230" s="535" t="s">
        <v>10</v>
      </c>
      <c r="I1230" s="556" t="s">
        <v>116</v>
      </c>
      <c r="J1230" s="555" t="s">
        <v>269</v>
      </c>
      <c r="K1230" s="15"/>
      <c r="L1230" s="412" t="s">
        <v>437</v>
      </c>
      <c r="M1230" t="str">
        <f t="shared" si="140"/>
        <v/>
      </c>
      <c r="N1230" t="str">
        <f t="shared" si="144"/>
        <v/>
      </c>
    </row>
    <row r="1231" spans="1:14" ht="15" thickBot="1">
      <c r="A1231" s="281">
        <v>46307</v>
      </c>
      <c r="B1231" s="536" t="s">
        <v>31</v>
      </c>
      <c r="C1231" s="246">
        <v>0.04</v>
      </c>
      <c r="D1231" s="244">
        <v>38.090000000000003</v>
      </c>
      <c r="E1231" s="150"/>
      <c r="F1231" s="150"/>
      <c r="G1231" s="245">
        <f t="shared" si="145"/>
        <v>5196047.209999999</v>
      </c>
      <c r="H1231" s="535" t="s">
        <v>25</v>
      </c>
      <c r="I1231" s="556" t="s">
        <v>116</v>
      </c>
      <c r="J1231" s="555" t="s">
        <v>25</v>
      </c>
      <c r="K1231" s="15"/>
      <c r="L1231" s="412" t="s">
        <v>437</v>
      </c>
      <c r="M1231" t="str">
        <f t="shared" si="140"/>
        <v/>
      </c>
      <c r="N1231" t="str">
        <f t="shared" si="144"/>
        <v/>
      </c>
    </row>
    <row r="1232" spans="1:14" ht="15" thickBot="1">
      <c r="A1232" s="69">
        <v>46308</v>
      </c>
      <c r="B1232" s="70" t="s">
        <v>774</v>
      </c>
      <c r="C1232" s="72"/>
      <c r="D1232" s="73"/>
      <c r="E1232" s="70">
        <v>55.7</v>
      </c>
      <c r="F1232" s="72">
        <v>54624.61</v>
      </c>
      <c r="G1232" s="74">
        <f>G1231+F1232</f>
        <v>5250671.8199999994</v>
      </c>
      <c r="H1232" s="75" t="s">
        <v>13</v>
      </c>
      <c r="I1232" s="556" t="s">
        <v>127</v>
      </c>
      <c r="J1232" s="555" t="s">
        <v>738</v>
      </c>
      <c r="K1232" s="555" t="s">
        <v>127</v>
      </c>
      <c r="L1232" s="117"/>
      <c r="M1232" t="str">
        <f t="shared" si="140"/>
        <v/>
      </c>
      <c r="N1232" t="str">
        <f t="shared" si="144"/>
        <v/>
      </c>
    </row>
    <row r="1233" spans="1:14" ht="15" thickBot="1">
      <c r="A1233" s="69">
        <v>46308</v>
      </c>
      <c r="B1233" s="70" t="s">
        <v>814</v>
      </c>
      <c r="C1233" s="72"/>
      <c r="D1233" s="73"/>
      <c r="E1233" s="70">
        <v>35.33</v>
      </c>
      <c r="F1233" s="72">
        <v>34645.08</v>
      </c>
      <c r="G1233" s="74">
        <f>G1232+F1233</f>
        <v>5285316.8999999994</v>
      </c>
      <c r="H1233" s="75" t="s">
        <v>13</v>
      </c>
      <c r="I1233" s="556" t="s">
        <v>127</v>
      </c>
      <c r="J1233" s="555" t="s">
        <v>738</v>
      </c>
      <c r="K1233" s="555" t="s">
        <v>127</v>
      </c>
      <c r="L1233" s="117"/>
      <c r="M1233" t="str">
        <f t="shared" si="140"/>
        <v/>
      </c>
      <c r="N1233" t="str">
        <f t="shared" si="144"/>
        <v/>
      </c>
    </row>
    <row r="1234" spans="1:14" ht="15" thickBot="1">
      <c r="A1234" s="281">
        <v>46308</v>
      </c>
      <c r="B1234" s="536" t="s">
        <v>815</v>
      </c>
      <c r="C1234" s="246">
        <v>0.63</v>
      </c>
      <c r="D1234" s="244">
        <v>613.75</v>
      </c>
      <c r="E1234" s="150"/>
      <c r="F1234" s="150"/>
      <c r="G1234" s="245">
        <f>G1233-D1234</f>
        <v>5284703.1499999994</v>
      </c>
      <c r="H1234" s="535" t="s">
        <v>25</v>
      </c>
      <c r="I1234" s="556" t="s">
        <v>116</v>
      </c>
      <c r="J1234" s="555" t="s">
        <v>25</v>
      </c>
      <c r="K1234" s="15"/>
      <c r="L1234" s="412" t="s">
        <v>437</v>
      </c>
      <c r="M1234" t="str">
        <f t="shared" si="140"/>
        <v/>
      </c>
      <c r="N1234" t="str">
        <f t="shared" si="144"/>
        <v/>
      </c>
    </row>
    <row r="1235" spans="1:14" ht="29.5" thickBot="1">
      <c r="A1235" s="281">
        <v>46308</v>
      </c>
      <c r="B1235" s="537" t="s">
        <v>816</v>
      </c>
      <c r="C1235" s="246">
        <v>1307.5899999999999</v>
      </c>
      <c r="D1235" s="244">
        <v>1282242.8400000001</v>
      </c>
      <c r="E1235" s="150"/>
      <c r="F1235" s="150"/>
      <c r="G1235" s="245">
        <f>G1234-D1235</f>
        <v>4002460.3099999996</v>
      </c>
      <c r="H1235" s="535" t="s">
        <v>10</v>
      </c>
      <c r="I1235" s="556" t="s">
        <v>119</v>
      </c>
      <c r="J1235" s="555" t="s">
        <v>827</v>
      </c>
      <c r="K1235" s="15"/>
      <c r="L1235" s="412" t="s">
        <v>437</v>
      </c>
      <c r="M1235" t="str">
        <f t="shared" si="140"/>
        <v/>
      </c>
      <c r="N1235" t="str">
        <f t="shared" si="144"/>
        <v/>
      </c>
    </row>
    <row r="1236" spans="1:14" ht="15" thickBot="1">
      <c r="A1236" s="281">
        <v>46308</v>
      </c>
      <c r="B1236" s="536" t="s">
        <v>817</v>
      </c>
      <c r="C1236" s="246">
        <v>61.16</v>
      </c>
      <c r="D1236" s="244">
        <v>59972.78</v>
      </c>
      <c r="E1236" s="150"/>
      <c r="F1236" s="150"/>
      <c r="G1236" s="245">
        <f>G1235-D1236</f>
        <v>3942487.53</v>
      </c>
      <c r="H1236" s="535" t="s">
        <v>10</v>
      </c>
      <c r="I1236" s="556" t="s">
        <v>119</v>
      </c>
      <c r="J1236" s="555" t="s">
        <v>746</v>
      </c>
      <c r="K1236" s="15"/>
      <c r="L1236" s="412" t="s">
        <v>437</v>
      </c>
      <c r="M1236" t="str">
        <f t="shared" ref="M1236:M1240" si="146">IF(E1236="","",IF(E1236=F1236,"OJOOO",""))</f>
        <v/>
      </c>
      <c r="N1236" t="str">
        <f t="shared" si="144"/>
        <v/>
      </c>
    </row>
    <row r="1237" spans="1:14" ht="15" thickBot="1">
      <c r="A1237" s="281">
        <v>46308</v>
      </c>
      <c r="B1237" s="536" t="s">
        <v>31</v>
      </c>
      <c r="C1237" s="246">
        <v>0.18</v>
      </c>
      <c r="D1237" s="244">
        <v>179.91</v>
      </c>
      <c r="E1237" s="150"/>
      <c r="F1237" s="150"/>
      <c r="G1237" s="245">
        <f>G1236-D1237</f>
        <v>3942307.6199999996</v>
      </c>
      <c r="H1237" s="535" t="s">
        <v>25</v>
      </c>
      <c r="I1237" s="556" t="s">
        <v>116</v>
      </c>
      <c r="J1237" s="555" t="s">
        <v>25</v>
      </c>
      <c r="K1237" s="15"/>
      <c r="L1237" s="412" t="s">
        <v>437</v>
      </c>
      <c r="M1237" t="str">
        <f t="shared" si="146"/>
        <v/>
      </c>
      <c r="N1237" t="str">
        <f t="shared" si="144"/>
        <v/>
      </c>
    </row>
    <row r="1238" spans="1:14" ht="15" thickBot="1">
      <c r="A1238" s="69">
        <v>46308</v>
      </c>
      <c r="B1238" s="70" t="s">
        <v>818</v>
      </c>
      <c r="C1238" s="72"/>
      <c r="D1238" s="73"/>
      <c r="E1238" s="381">
        <v>1879.65</v>
      </c>
      <c r="F1238" s="72">
        <v>1843208.81</v>
      </c>
      <c r="G1238" s="74">
        <f>G1237+F1238</f>
        <v>5785516.4299999997</v>
      </c>
      <c r="H1238" s="75" t="s">
        <v>10</v>
      </c>
      <c r="I1238" s="556" t="s">
        <v>127</v>
      </c>
      <c r="J1238" s="555" t="s">
        <v>737</v>
      </c>
      <c r="K1238" s="15"/>
      <c r="L1238" s="412"/>
      <c r="M1238" t="str">
        <f t="shared" si="146"/>
        <v/>
      </c>
      <c r="N1238" t="str">
        <f t="shared" si="144"/>
        <v/>
      </c>
    </row>
    <row r="1239" spans="1:14" ht="15" thickBot="1">
      <c r="A1239" s="281">
        <v>46308</v>
      </c>
      <c r="B1239" s="536" t="s">
        <v>819</v>
      </c>
      <c r="C1239" s="246">
        <v>491.77</v>
      </c>
      <c r="D1239" s="244">
        <v>482238.68</v>
      </c>
      <c r="E1239" s="150"/>
      <c r="F1239" s="150"/>
      <c r="G1239" s="245">
        <f>G1238-D1239</f>
        <v>5303277.75</v>
      </c>
      <c r="H1239" s="535" t="s">
        <v>10</v>
      </c>
      <c r="I1239" s="556" t="s">
        <v>119</v>
      </c>
      <c r="J1239" s="555" t="s">
        <v>128</v>
      </c>
      <c r="K1239" s="15"/>
      <c r="L1239" s="412" t="s">
        <v>437</v>
      </c>
      <c r="M1239" t="str">
        <f t="shared" si="146"/>
        <v/>
      </c>
      <c r="N1239" t="str">
        <f t="shared" si="144"/>
        <v/>
      </c>
    </row>
    <row r="1240" spans="1:14" ht="15" thickBot="1">
      <c r="A1240" s="281">
        <v>46308</v>
      </c>
      <c r="B1240" s="536" t="s">
        <v>31</v>
      </c>
      <c r="C1240" s="246">
        <v>1.48</v>
      </c>
      <c r="D1240" s="244">
        <v>1446.71</v>
      </c>
      <c r="E1240" s="150"/>
      <c r="F1240" s="150"/>
      <c r="G1240" s="245">
        <f>G1239-D1240</f>
        <v>5301831.04</v>
      </c>
      <c r="H1240" s="535" t="s">
        <v>25</v>
      </c>
      <c r="I1240" s="556" t="s">
        <v>116</v>
      </c>
      <c r="J1240" s="555" t="s">
        <v>25</v>
      </c>
      <c r="K1240" s="15"/>
      <c r="L1240" s="412" t="s">
        <v>437</v>
      </c>
      <c r="M1240" t="str">
        <f t="shared" si="146"/>
        <v/>
      </c>
      <c r="N1240" t="str">
        <f t="shared" si="144"/>
        <v/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I62"/>
  <sheetViews>
    <sheetView topLeftCell="A44" zoomScaleNormal="100" workbookViewId="0">
      <selection activeCell="H10" sqref="H10"/>
    </sheetView>
  </sheetViews>
  <sheetFormatPr baseColWidth="10" defaultColWidth="11" defaultRowHeight="14.5"/>
  <cols>
    <col min="1" max="1" width="3.1796875" customWidth="1"/>
    <col min="2" max="2" width="14.81640625" customWidth="1"/>
    <col min="3" max="3" width="34.453125" customWidth="1"/>
    <col min="4" max="4" width="13.81640625" bestFit="1" customWidth="1"/>
    <col min="5" max="5" width="19.7265625" customWidth="1"/>
    <col min="6" max="6" width="13.81640625" bestFit="1" customWidth="1"/>
    <col min="7" max="7" width="18.54296875" customWidth="1"/>
    <col min="8" max="8" width="15.81640625" customWidth="1"/>
    <col min="9" max="9" width="16.1796875" customWidth="1"/>
  </cols>
  <sheetData>
    <row r="2" spans="2:9" ht="12.75" customHeight="1" thickBot="1"/>
    <row r="3" spans="2:9" hidden="1"/>
    <row r="4" spans="2:9" hidden="1"/>
    <row r="5" spans="2:9" ht="68.25" customHeight="1" thickBot="1">
      <c r="B5" s="1"/>
      <c r="C5" s="2"/>
      <c r="D5" s="2" t="s">
        <v>0</v>
      </c>
      <c r="E5" s="2"/>
      <c r="F5" s="2"/>
      <c r="G5" s="2" t="s">
        <v>401</v>
      </c>
      <c r="H5" s="2"/>
      <c r="I5" s="3"/>
    </row>
    <row r="6" spans="2:9" ht="15" thickBot="1">
      <c r="B6" s="4" t="s">
        <v>1</v>
      </c>
      <c r="C6" s="4" t="s">
        <v>2</v>
      </c>
      <c r="D6" s="37" t="s">
        <v>3</v>
      </c>
      <c r="E6" s="38" t="s">
        <v>4</v>
      </c>
      <c r="F6" s="39" t="s">
        <v>5</v>
      </c>
      <c r="G6" s="39" t="s">
        <v>6</v>
      </c>
      <c r="H6" s="8" t="s">
        <v>7</v>
      </c>
      <c r="I6" s="9" t="s">
        <v>8</v>
      </c>
    </row>
    <row r="7" spans="2:9">
      <c r="B7" s="79">
        <v>46121</v>
      </c>
      <c r="C7" s="62" t="s">
        <v>9</v>
      </c>
      <c r="D7" s="80"/>
      <c r="E7" s="62"/>
      <c r="F7" s="80">
        <v>2000</v>
      </c>
      <c r="G7" s="80">
        <v>954535.95</v>
      </c>
      <c r="H7" s="80">
        <v>954535.95</v>
      </c>
      <c r="I7" s="81" t="s">
        <v>10</v>
      </c>
    </row>
    <row r="8" spans="2:9">
      <c r="B8" s="82">
        <v>46121</v>
      </c>
      <c r="C8" s="8" t="s">
        <v>11</v>
      </c>
      <c r="D8" s="83" t="s">
        <v>12</v>
      </c>
      <c r="E8" s="83">
        <v>43064.85</v>
      </c>
      <c r="F8" s="8"/>
      <c r="G8" s="8"/>
      <c r="H8" s="84">
        <f t="shared" ref="H8:H17" si="0">H7-E8</f>
        <v>911471.1</v>
      </c>
      <c r="I8" s="17" t="s">
        <v>13</v>
      </c>
    </row>
    <row r="9" spans="2:9">
      <c r="B9" s="82">
        <v>46122</v>
      </c>
      <c r="C9" s="8" t="s">
        <v>14</v>
      </c>
      <c r="D9" s="85">
        <v>88</v>
      </c>
      <c r="E9" s="83">
        <v>41925.839999999997</v>
      </c>
      <c r="F9" s="8"/>
      <c r="G9" s="8"/>
      <c r="H9" s="84">
        <f t="shared" si="0"/>
        <v>869545.26</v>
      </c>
      <c r="I9" s="17" t="s">
        <v>13</v>
      </c>
    </row>
    <row r="10" spans="2:9">
      <c r="B10" s="86">
        <v>46122</v>
      </c>
      <c r="C10" s="87" t="s">
        <v>15</v>
      </c>
      <c r="D10" s="85">
        <v>3</v>
      </c>
      <c r="E10" s="85">
        <v>1431</v>
      </c>
      <c r="F10" s="87"/>
      <c r="G10" s="87"/>
      <c r="H10" s="84">
        <f t="shared" si="0"/>
        <v>868114.26</v>
      </c>
      <c r="I10" s="88" t="s">
        <v>13</v>
      </c>
    </row>
    <row r="11" spans="2:9">
      <c r="B11" s="82">
        <v>46124</v>
      </c>
      <c r="C11" s="8" t="s">
        <v>16</v>
      </c>
      <c r="D11" s="85">
        <v>155</v>
      </c>
      <c r="E11" s="85">
        <v>73958.25</v>
      </c>
      <c r="F11" s="8"/>
      <c r="G11" s="8"/>
      <c r="H11" s="84">
        <f t="shared" si="0"/>
        <v>794156.01</v>
      </c>
      <c r="I11" s="17" t="s">
        <v>13</v>
      </c>
    </row>
    <row r="12" spans="2:9">
      <c r="B12" s="82">
        <v>46124</v>
      </c>
      <c r="C12" s="8" t="s">
        <v>17</v>
      </c>
      <c r="D12" s="85">
        <v>67.55</v>
      </c>
      <c r="E12" s="85">
        <v>32232.78</v>
      </c>
      <c r="F12" s="8"/>
      <c r="G12" s="8"/>
      <c r="H12" s="84">
        <f t="shared" si="0"/>
        <v>761923.23</v>
      </c>
      <c r="I12" s="17" t="s">
        <v>13</v>
      </c>
    </row>
    <row r="13" spans="2:9">
      <c r="B13" s="82">
        <v>46124</v>
      </c>
      <c r="C13" s="8" t="s">
        <v>18</v>
      </c>
      <c r="D13" s="85">
        <v>47.78</v>
      </c>
      <c r="E13" s="85">
        <v>22800</v>
      </c>
      <c r="F13" s="8"/>
      <c r="G13" s="8"/>
      <c r="H13" s="84">
        <f t="shared" si="0"/>
        <v>739123.23</v>
      </c>
      <c r="I13" s="17" t="s">
        <v>13</v>
      </c>
    </row>
    <row r="14" spans="2:9">
      <c r="B14" s="82">
        <v>46124</v>
      </c>
      <c r="C14" s="8" t="s">
        <v>19</v>
      </c>
      <c r="D14" s="89">
        <v>39.5</v>
      </c>
      <c r="E14" s="89">
        <v>18847.419999999998</v>
      </c>
      <c r="F14" s="8"/>
      <c r="G14" s="8"/>
      <c r="H14" s="84">
        <f t="shared" si="0"/>
        <v>720275.81</v>
      </c>
      <c r="I14" s="17" t="s">
        <v>13</v>
      </c>
    </row>
    <row r="15" spans="2:9">
      <c r="B15" s="82">
        <v>46124</v>
      </c>
      <c r="C15" s="8" t="s">
        <v>20</v>
      </c>
      <c r="D15" s="85">
        <v>18.899999999999999</v>
      </c>
      <c r="E15" s="85">
        <v>9018.15</v>
      </c>
      <c r="F15" s="8"/>
      <c r="G15" s="8"/>
      <c r="H15" s="84">
        <f t="shared" si="0"/>
        <v>711257.66</v>
      </c>
      <c r="I15" s="17" t="s">
        <v>13</v>
      </c>
    </row>
    <row r="16" spans="2:9">
      <c r="B16" s="82">
        <v>46125</v>
      </c>
      <c r="C16" s="8" t="s">
        <v>21</v>
      </c>
      <c r="D16" s="85">
        <v>30.33</v>
      </c>
      <c r="E16" s="85">
        <v>14471.95</v>
      </c>
      <c r="F16" s="8"/>
      <c r="G16" s="8"/>
      <c r="H16" s="84">
        <f t="shared" si="0"/>
        <v>696785.71</v>
      </c>
      <c r="I16" s="17" t="s">
        <v>13</v>
      </c>
    </row>
    <row r="17" spans="2:9">
      <c r="B17" s="82">
        <v>46125</v>
      </c>
      <c r="C17" s="8" t="s">
        <v>22</v>
      </c>
      <c r="D17" s="85">
        <v>6.54</v>
      </c>
      <c r="E17" s="85">
        <v>3125.33</v>
      </c>
      <c r="F17" s="8"/>
      <c r="G17" s="8"/>
      <c r="H17" s="84">
        <f t="shared" si="0"/>
        <v>693660.38</v>
      </c>
      <c r="I17" s="17" t="s">
        <v>13</v>
      </c>
    </row>
    <row r="18" spans="2:9">
      <c r="B18" s="79">
        <v>46126</v>
      </c>
      <c r="C18" s="62" t="s">
        <v>9</v>
      </c>
      <c r="D18" s="59"/>
      <c r="E18" s="67"/>
      <c r="F18" s="90">
        <v>1000</v>
      </c>
      <c r="G18" s="90">
        <v>477625.9</v>
      </c>
      <c r="H18" s="90">
        <f>H17+G18</f>
        <v>1171286.28</v>
      </c>
      <c r="I18" s="81" t="s">
        <v>10</v>
      </c>
    </row>
    <row r="19" spans="2:9">
      <c r="B19" s="79">
        <v>46126</v>
      </c>
      <c r="C19" s="62" t="s">
        <v>9</v>
      </c>
      <c r="D19" s="59"/>
      <c r="E19" s="67"/>
      <c r="F19" s="90">
        <v>1698.77</v>
      </c>
      <c r="G19" s="90">
        <v>811377</v>
      </c>
      <c r="H19" s="90">
        <f>H18+G19</f>
        <v>1982663.28</v>
      </c>
      <c r="I19" s="81" t="s">
        <v>10</v>
      </c>
    </row>
    <row r="20" spans="2:9">
      <c r="B20" s="79">
        <v>46126</v>
      </c>
      <c r="C20" s="62" t="s">
        <v>9</v>
      </c>
      <c r="D20" s="59"/>
      <c r="E20" s="67"/>
      <c r="F20" s="90">
        <v>1698.77</v>
      </c>
      <c r="G20" s="90">
        <v>811377</v>
      </c>
      <c r="H20" s="90">
        <f>H19+G20</f>
        <v>2794040.28</v>
      </c>
      <c r="I20" s="81" t="s">
        <v>10</v>
      </c>
    </row>
    <row r="21" spans="2:9">
      <c r="B21" s="79">
        <v>46126</v>
      </c>
      <c r="C21" s="62" t="s">
        <v>9</v>
      </c>
      <c r="D21" s="59"/>
      <c r="E21" s="67"/>
      <c r="F21" s="90">
        <v>1698.77</v>
      </c>
      <c r="G21" s="90">
        <v>811377</v>
      </c>
      <c r="H21" s="90">
        <f t="shared" ref="H21:H22" si="1">H20+G21</f>
        <v>3605417.28</v>
      </c>
      <c r="I21" s="81" t="s">
        <v>10</v>
      </c>
    </row>
    <row r="22" spans="2:9">
      <c r="B22" s="79">
        <v>46126</v>
      </c>
      <c r="C22" s="62" t="s">
        <v>9</v>
      </c>
      <c r="D22" s="59"/>
      <c r="E22" s="67"/>
      <c r="F22" s="90">
        <v>1698.77</v>
      </c>
      <c r="G22" s="90">
        <v>811377</v>
      </c>
      <c r="H22" s="90">
        <f t="shared" si="1"/>
        <v>4416794.28</v>
      </c>
      <c r="I22" s="81" t="s">
        <v>10</v>
      </c>
    </row>
    <row r="23" spans="2:9">
      <c r="B23" s="82">
        <v>46126</v>
      </c>
      <c r="C23" s="8" t="s">
        <v>23</v>
      </c>
      <c r="D23" s="85">
        <v>6795.08</v>
      </c>
      <c r="E23" s="85">
        <v>3245508</v>
      </c>
      <c r="F23" s="8"/>
      <c r="G23" s="8"/>
      <c r="H23" s="84">
        <f t="shared" ref="H23:H32" si="2">H22-E23</f>
        <v>1171286.28</v>
      </c>
      <c r="I23" s="17" t="s">
        <v>10</v>
      </c>
    </row>
    <row r="24" spans="2:9">
      <c r="B24" s="82">
        <v>46126</v>
      </c>
      <c r="C24" s="8" t="s">
        <v>24</v>
      </c>
      <c r="D24" s="91"/>
      <c r="E24" s="19">
        <v>9736.52</v>
      </c>
      <c r="F24" s="15"/>
      <c r="G24" s="15"/>
      <c r="H24" s="33">
        <f t="shared" si="2"/>
        <v>1161549.76</v>
      </c>
      <c r="I24" s="8" t="s">
        <v>25</v>
      </c>
    </row>
    <row r="25" spans="2:9" ht="29">
      <c r="B25" s="82">
        <v>46126</v>
      </c>
      <c r="C25" s="92" t="s">
        <v>26</v>
      </c>
      <c r="D25" s="85">
        <v>1556.63</v>
      </c>
      <c r="E25" s="85">
        <v>753004.31</v>
      </c>
      <c r="F25" s="8"/>
      <c r="G25" s="8"/>
      <c r="H25" s="84">
        <f t="shared" si="2"/>
        <v>408545.45</v>
      </c>
      <c r="I25" s="17" t="s">
        <v>10</v>
      </c>
    </row>
    <row r="26" spans="2:9">
      <c r="B26" s="82">
        <v>46126</v>
      </c>
      <c r="C26" s="8" t="s">
        <v>24</v>
      </c>
      <c r="D26" s="93"/>
      <c r="E26" s="85">
        <v>2259.0100000000002</v>
      </c>
      <c r="F26" s="8"/>
      <c r="G26" s="8"/>
      <c r="H26" s="84">
        <f t="shared" si="2"/>
        <v>406286.44</v>
      </c>
      <c r="I26" s="17"/>
    </row>
    <row r="27" spans="2:9">
      <c r="B27" s="82">
        <v>46126</v>
      </c>
      <c r="C27" s="8" t="s">
        <v>27</v>
      </c>
      <c r="D27" s="85">
        <v>15</v>
      </c>
      <c r="E27" s="85">
        <v>7164.39</v>
      </c>
      <c r="F27" s="8"/>
      <c r="G27" s="8"/>
      <c r="H27" s="84">
        <f t="shared" si="2"/>
        <v>399122.05</v>
      </c>
      <c r="I27" s="17" t="s">
        <v>10</v>
      </c>
    </row>
    <row r="28" spans="2:9">
      <c r="B28" s="82">
        <v>46126</v>
      </c>
      <c r="C28" s="8" t="s">
        <v>24</v>
      </c>
      <c r="D28" s="93"/>
      <c r="E28" s="85">
        <v>21.49</v>
      </c>
      <c r="F28" s="8"/>
      <c r="G28" s="8"/>
      <c r="H28" s="84">
        <f t="shared" si="2"/>
        <v>399100.56</v>
      </c>
      <c r="I28" s="17"/>
    </row>
    <row r="29" spans="2:9">
      <c r="B29" s="82">
        <v>46126</v>
      </c>
      <c r="C29" s="8" t="s">
        <v>28</v>
      </c>
      <c r="D29" s="85">
        <v>3</v>
      </c>
      <c r="E29" s="85">
        <v>1433</v>
      </c>
      <c r="F29" s="8"/>
      <c r="G29" s="8"/>
      <c r="H29" s="84">
        <f t="shared" si="2"/>
        <v>397667.56</v>
      </c>
      <c r="I29" s="17" t="s">
        <v>10</v>
      </c>
    </row>
    <row r="30" spans="2:9">
      <c r="B30" s="82">
        <v>46126</v>
      </c>
      <c r="C30" s="8" t="s">
        <v>24</v>
      </c>
      <c r="D30" s="85"/>
      <c r="E30" s="85">
        <v>4.29</v>
      </c>
      <c r="F30" s="8"/>
      <c r="G30" s="8"/>
      <c r="H30" s="84">
        <f t="shared" si="2"/>
        <v>397663.27</v>
      </c>
      <c r="I30" s="17" t="s">
        <v>25</v>
      </c>
    </row>
    <row r="31" spans="2:9" ht="30.75" customHeight="1">
      <c r="B31" s="94">
        <v>46126</v>
      </c>
      <c r="C31" s="95" t="s">
        <v>29</v>
      </c>
      <c r="D31" s="37">
        <v>4.32</v>
      </c>
      <c r="E31" s="37">
        <v>2063.3000000000002</v>
      </c>
      <c r="F31" s="4"/>
      <c r="G31" s="4"/>
      <c r="H31" s="96">
        <f t="shared" si="2"/>
        <v>395599.97</v>
      </c>
      <c r="I31" s="9" t="s">
        <v>10</v>
      </c>
    </row>
    <row r="32" spans="2:9">
      <c r="B32" s="10">
        <v>46126</v>
      </c>
      <c r="C32" s="53" t="s">
        <v>24</v>
      </c>
      <c r="D32" s="97"/>
      <c r="E32" s="98">
        <v>6.18</v>
      </c>
      <c r="F32" s="8"/>
      <c r="G32" s="8"/>
      <c r="H32" s="84">
        <f t="shared" si="2"/>
        <v>395593.79</v>
      </c>
      <c r="I32" s="8" t="s">
        <v>25</v>
      </c>
    </row>
    <row r="33" spans="2:9">
      <c r="B33" s="10">
        <v>46127</v>
      </c>
      <c r="C33" s="53" t="s">
        <v>30</v>
      </c>
      <c r="D33" s="30">
        <v>136.99</v>
      </c>
      <c r="E33" s="98">
        <v>65559.09</v>
      </c>
      <c r="F33" s="15"/>
      <c r="G33" s="15"/>
      <c r="H33" s="33">
        <f t="shared" ref="H33:H35" si="3">H32-E33</f>
        <v>330034.7</v>
      </c>
      <c r="I33" s="17" t="s">
        <v>10</v>
      </c>
    </row>
    <row r="34" spans="2:9">
      <c r="B34" s="10">
        <v>46127</v>
      </c>
      <c r="C34" s="53" t="s">
        <v>31</v>
      </c>
      <c r="D34" s="98"/>
      <c r="E34" s="99">
        <v>196.67</v>
      </c>
      <c r="F34" s="15"/>
      <c r="G34" s="15"/>
      <c r="H34" s="33">
        <f t="shared" si="3"/>
        <v>329838.03000000003</v>
      </c>
      <c r="I34" s="17" t="s">
        <v>25</v>
      </c>
    </row>
    <row r="35" spans="2:9">
      <c r="B35" s="100">
        <v>46132</v>
      </c>
      <c r="C35" s="39" t="s">
        <v>32</v>
      </c>
      <c r="D35" s="101">
        <v>35.700000000000003</v>
      </c>
      <c r="E35" s="13">
        <v>17177.400000000001</v>
      </c>
      <c r="F35" s="102"/>
      <c r="G35" s="102"/>
      <c r="H35" s="103">
        <f t="shared" si="3"/>
        <v>312660.63</v>
      </c>
      <c r="I35" s="9" t="s">
        <v>10</v>
      </c>
    </row>
    <row r="36" spans="2:9">
      <c r="B36" s="10">
        <v>46133</v>
      </c>
      <c r="C36" s="53" t="s">
        <v>32</v>
      </c>
      <c r="D36" s="30">
        <v>408.9</v>
      </c>
      <c r="E36" s="98">
        <v>196967.52</v>
      </c>
      <c r="F36" s="15"/>
      <c r="G36" s="15"/>
      <c r="H36" s="33">
        <f t="shared" ref="H36:H42" si="4">H35-E36</f>
        <v>115693.11</v>
      </c>
      <c r="I36" s="104" t="s">
        <v>10</v>
      </c>
    </row>
    <row r="37" spans="2:9">
      <c r="B37" s="82">
        <v>46133</v>
      </c>
      <c r="C37" s="39" t="s">
        <v>31</v>
      </c>
      <c r="D37" s="105"/>
      <c r="E37" s="38">
        <v>25.14</v>
      </c>
      <c r="F37" s="102"/>
      <c r="G37" s="102"/>
      <c r="H37" s="103">
        <f t="shared" si="4"/>
        <v>115667.97</v>
      </c>
      <c r="I37" s="106" t="s">
        <v>25</v>
      </c>
    </row>
    <row r="38" spans="2:9">
      <c r="B38" s="107">
        <v>46133</v>
      </c>
      <c r="C38" s="108" t="s">
        <v>31</v>
      </c>
      <c r="D38" s="109"/>
      <c r="E38" s="110">
        <v>15.17</v>
      </c>
      <c r="F38" s="111"/>
      <c r="G38" s="112"/>
      <c r="H38" s="113">
        <f t="shared" si="4"/>
        <v>115652.8</v>
      </c>
      <c r="I38" s="114" t="s">
        <v>25</v>
      </c>
    </row>
    <row r="39" spans="2:9">
      <c r="B39" s="10">
        <v>46133</v>
      </c>
      <c r="C39" s="53" t="s">
        <v>33</v>
      </c>
      <c r="D39" s="30">
        <v>10.5</v>
      </c>
      <c r="E39" s="98">
        <v>5058.8</v>
      </c>
      <c r="F39" s="14"/>
      <c r="G39" s="15"/>
      <c r="H39" s="33">
        <f t="shared" si="4"/>
        <v>110594</v>
      </c>
      <c r="I39" s="104" t="s">
        <v>10</v>
      </c>
    </row>
    <row r="40" spans="2:9">
      <c r="B40" s="100">
        <v>46133</v>
      </c>
      <c r="C40" s="39" t="s">
        <v>31</v>
      </c>
      <c r="D40" s="105"/>
      <c r="E40" s="38">
        <v>15.17</v>
      </c>
      <c r="F40" s="15"/>
      <c r="G40" s="115"/>
      <c r="H40" s="103">
        <f t="shared" si="4"/>
        <v>110578.83</v>
      </c>
      <c r="I40" s="106" t="s">
        <v>25</v>
      </c>
    </row>
    <row r="41" spans="2:9">
      <c r="B41" s="10">
        <v>46134</v>
      </c>
      <c r="C41" s="53" t="s">
        <v>34</v>
      </c>
      <c r="D41" s="30">
        <v>17.36</v>
      </c>
      <c r="E41" s="98">
        <v>8381.58</v>
      </c>
      <c r="F41" s="15"/>
      <c r="G41" s="15"/>
      <c r="H41" s="33">
        <f t="shared" si="4"/>
        <v>102197.25</v>
      </c>
      <c r="I41" s="17" t="s">
        <v>10</v>
      </c>
    </row>
    <row r="42" spans="2:9">
      <c r="B42" s="100">
        <v>46134</v>
      </c>
      <c r="C42" s="39" t="s">
        <v>31</v>
      </c>
      <c r="D42" s="105"/>
      <c r="E42" s="38">
        <v>25.14</v>
      </c>
      <c r="F42" s="102"/>
      <c r="G42" s="102"/>
      <c r="H42" s="103">
        <f t="shared" si="4"/>
        <v>102172.11</v>
      </c>
      <c r="I42" s="9" t="s">
        <v>25</v>
      </c>
    </row>
    <row r="43" spans="2:9">
      <c r="B43" s="10">
        <v>46134</v>
      </c>
      <c r="C43" s="53" t="s">
        <v>35</v>
      </c>
      <c r="D43" s="30">
        <v>20.71</v>
      </c>
      <c r="E43" s="98">
        <v>10000</v>
      </c>
      <c r="F43" s="15"/>
      <c r="G43" s="14"/>
      <c r="H43" s="116">
        <f t="shared" ref="H43:H51" si="5">H42-E43</f>
        <v>92172.110000000204</v>
      </c>
      <c r="I43" s="104" t="s">
        <v>10</v>
      </c>
    </row>
    <row r="44" spans="2:9">
      <c r="B44" s="10">
        <v>46134</v>
      </c>
      <c r="C44" s="53" t="s">
        <v>31</v>
      </c>
      <c r="D44" s="30"/>
      <c r="E44" s="98">
        <v>30</v>
      </c>
      <c r="F44" s="14"/>
      <c r="G44" s="15"/>
      <c r="H44" s="33">
        <f t="shared" si="5"/>
        <v>92142.110000000204</v>
      </c>
      <c r="I44" s="17" t="s">
        <v>25</v>
      </c>
    </row>
    <row r="45" spans="2:9">
      <c r="B45" s="82">
        <v>46135</v>
      </c>
      <c r="C45" s="15" t="s">
        <v>36</v>
      </c>
      <c r="D45" s="19">
        <v>20.69</v>
      </c>
      <c r="E45" s="19">
        <v>10000</v>
      </c>
      <c r="F45" s="15"/>
      <c r="G45" s="15"/>
      <c r="H45" s="33">
        <f t="shared" si="5"/>
        <v>82142.110000000204</v>
      </c>
      <c r="I45" s="117" t="s">
        <v>10</v>
      </c>
    </row>
    <row r="46" spans="2:9">
      <c r="B46" s="82">
        <v>46135</v>
      </c>
      <c r="C46" s="8" t="s">
        <v>31</v>
      </c>
      <c r="D46" s="19"/>
      <c r="E46" s="19">
        <v>30</v>
      </c>
      <c r="F46" s="15"/>
      <c r="G46" s="15"/>
      <c r="H46" s="33">
        <f t="shared" si="5"/>
        <v>82112.110000000204</v>
      </c>
      <c r="I46" s="17" t="s">
        <v>25</v>
      </c>
    </row>
    <row r="47" spans="2:9">
      <c r="B47" s="100">
        <v>46136</v>
      </c>
      <c r="C47" s="39" t="s">
        <v>37</v>
      </c>
      <c r="D47" s="105">
        <v>70</v>
      </c>
      <c r="E47" s="38">
        <v>33870.870000000003</v>
      </c>
      <c r="F47" s="118"/>
      <c r="G47" s="15"/>
      <c r="H47" s="33">
        <f t="shared" si="5"/>
        <v>48241.240000000202</v>
      </c>
      <c r="I47" s="106" t="s">
        <v>10</v>
      </c>
    </row>
    <row r="48" spans="2:9">
      <c r="B48" s="10">
        <v>46136</v>
      </c>
      <c r="C48" s="53" t="s">
        <v>31</v>
      </c>
      <c r="D48" s="119"/>
      <c r="E48" s="98">
        <v>101.61</v>
      </c>
      <c r="F48" s="14"/>
      <c r="G48" s="15"/>
      <c r="H48" s="33">
        <f t="shared" si="5"/>
        <v>48139.630000000201</v>
      </c>
      <c r="I48" s="17" t="s">
        <v>25</v>
      </c>
    </row>
    <row r="49" spans="2:9" ht="29.25" customHeight="1">
      <c r="B49" s="10">
        <v>46139</v>
      </c>
      <c r="C49" s="120" t="s">
        <v>38</v>
      </c>
      <c r="D49" s="12">
        <v>68.260000000000005</v>
      </c>
      <c r="E49" s="98">
        <v>33186.68</v>
      </c>
      <c r="F49" s="15"/>
      <c r="G49" s="14"/>
      <c r="H49" s="33">
        <f t="shared" si="5"/>
        <v>14952.950000000201</v>
      </c>
      <c r="I49" s="17" t="s">
        <v>10</v>
      </c>
    </row>
    <row r="50" spans="2:9">
      <c r="B50" s="10">
        <v>46139</v>
      </c>
      <c r="C50" s="53" t="s">
        <v>31</v>
      </c>
      <c r="D50" s="14"/>
      <c r="E50" s="98">
        <v>99.56</v>
      </c>
      <c r="F50" s="15"/>
      <c r="G50" s="14"/>
      <c r="H50" s="33">
        <f t="shared" si="5"/>
        <v>14853.3900000002</v>
      </c>
      <c r="I50" s="17" t="s">
        <v>25</v>
      </c>
    </row>
    <row r="51" spans="2:9" ht="29">
      <c r="B51" s="10">
        <v>46139</v>
      </c>
      <c r="C51" s="121" t="s">
        <v>39</v>
      </c>
      <c r="D51" s="77">
        <v>8.31</v>
      </c>
      <c r="E51" s="98">
        <v>4027.24</v>
      </c>
      <c r="F51" s="14"/>
      <c r="G51" s="15"/>
      <c r="H51" s="33">
        <f t="shared" si="5"/>
        <v>10826.1500000002</v>
      </c>
      <c r="I51" s="17" t="s">
        <v>13</v>
      </c>
    </row>
    <row r="52" spans="2:9">
      <c r="B52" s="79">
        <v>46141</v>
      </c>
      <c r="C52" s="63" t="s">
        <v>40</v>
      </c>
      <c r="D52" s="67"/>
      <c r="E52" s="63"/>
      <c r="F52" s="68">
        <v>1223.6199999999999</v>
      </c>
      <c r="G52" s="68">
        <v>594917.63</v>
      </c>
      <c r="H52" s="61">
        <f>H51+G52</f>
        <v>605743.78</v>
      </c>
      <c r="I52" s="81" t="s">
        <v>10</v>
      </c>
    </row>
    <row r="53" spans="2:9">
      <c r="B53" s="122">
        <v>46141</v>
      </c>
      <c r="C53" s="123" t="s">
        <v>40</v>
      </c>
      <c r="D53" s="63"/>
      <c r="E53" s="63"/>
      <c r="F53" s="68">
        <v>1223.6199999999999</v>
      </c>
      <c r="G53" s="68">
        <v>594917.63</v>
      </c>
      <c r="H53" s="61">
        <f>H52+G53</f>
        <v>1200661.4099999999</v>
      </c>
      <c r="I53" s="62" t="s">
        <v>10</v>
      </c>
    </row>
    <row r="54" spans="2:9">
      <c r="B54" s="82">
        <v>46141</v>
      </c>
      <c r="C54" s="8" t="s">
        <v>32</v>
      </c>
      <c r="D54" s="13">
        <v>120.12</v>
      </c>
      <c r="E54" s="98">
        <v>58403.16</v>
      </c>
      <c r="F54" s="15"/>
      <c r="G54" s="15"/>
      <c r="H54" s="33">
        <f>H53-E54</f>
        <v>1142258.25</v>
      </c>
      <c r="I54" s="8" t="s">
        <v>10</v>
      </c>
    </row>
    <row r="55" spans="2:9">
      <c r="B55" s="10">
        <v>46141</v>
      </c>
      <c r="C55" s="8" t="s">
        <v>41</v>
      </c>
      <c r="D55" s="19">
        <v>2258.17</v>
      </c>
      <c r="E55" s="98">
        <v>1100000</v>
      </c>
      <c r="F55" s="14"/>
      <c r="G55" s="15"/>
      <c r="H55" s="124">
        <f>H54-E55</f>
        <v>42258.250000000196</v>
      </c>
      <c r="I55" s="53" t="s">
        <v>10</v>
      </c>
    </row>
    <row r="56" spans="2:9">
      <c r="B56" s="125">
        <v>46141</v>
      </c>
      <c r="C56" s="126" t="s">
        <v>31</v>
      </c>
      <c r="D56" s="112"/>
      <c r="E56" s="127">
        <v>3300</v>
      </c>
      <c r="F56" s="112"/>
      <c r="H56" s="113">
        <f>H55-E56</f>
        <v>38958.250000000196</v>
      </c>
      <c r="I56" s="128" t="s">
        <v>25</v>
      </c>
    </row>
    <row r="57" spans="2:9" ht="29">
      <c r="B57" s="79">
        <v>46141</v>
      </c>
      <c r="C57" s="129" t="s">
        <v>42</v>
      </c>
      <c r="D57" s="63"/>
      <c r="E57" s="67"/>
      <c r="F57" s="63">
        <v>156.27000000000001</v>
      </c>
      <c r="G57" s="60">
        <v>76122.789999999994</v>
      </c>
      <c r="H57" s="61">
        <f>H56+G57</f>
        <v>115081.04</v>
      </c>
      <c r="I57" s="130" t="s">
        <v>10</v>
      </c>
    </row>
    <row r="58" spans="2:9">
      <c r="B58" s="10">
        <v>46141</v>
      </c>
      <c r="C58" s="131" t="s">
        <v>43</v>
      </c>
      <c r="D58" s="132">
        <v>213.49</v>
      </c>
      <c r="E58" s="110">
        <v>103996.07</v>
      </c>
      <c r="G58" s="112"/>
      <c r="H58" s="133">
        <f>H57-E58</f>
        <v>11084.970000000199</v>
      </c>
      <c r="I58" s="128" t="s">
        <v>10</v>
      </c>
    </row>
    <row r="59" spans="2:9">
      <c r="B59" s="10">
        <v>46141</v>
      </c>
      <c r="C59" s="53" t="s">
        <v>31</v>
      </c>
      <c r="D59" s="14"/>
      <c r="E59" s="98">
        <v>311.98</v>
      </c>
      <c r="F59" s="14"/>
      <c r="G59" s="15"/>
      <c r="H59" s="124">
        <f>H58-E59</f>
        <v>10772.9900000002</v>
      </c>
      <c r="I59" s="53" t="s">
        <v>25</v>
      </c>
    </row>
    <row r="60" spans="2:9" ht="15" thickBot="1">
      <c r="B60" s="10">
        <v>46142</v>
      </c>
      <c r="C60" s="53" t="s">
        <v>44</v>
      </c>
      <c r="D60" s="134">
        <v>8.98</v>
      </c>
      <c r="E60" s="135">
        <v>4374.34</v>
      </c>
      <c r="F60" s="136"/>
      <c r="G60" s="137"/>
      <c r="H60" s="138">
        <f>H59-E60</f>
        <v>6398.6500000002197</v>
      </c>
      <c r="I60" s="17" t="s">
        <v>13</v>
      </c>
    </row>
    <row r="61" spans="2:9" ht="15" thickBot="1">
      <c r="B61" s="107">
        <v>46142</v>
      </c>
      <c r="C61" s="108" t="s">
        <v>45</v>
      </c>
      <c r="D61" s="12">
        <v>1.5</v>
      </c>
      <c r="E61" s="98">
        <v>730.68</v>
      </c>
      <c r="F61" s="14"/>
      <c r="G61" s="15"/>
      <c r="H61" s="164">
        <f>H60-E61</f>
        <v>5667.9700000002204</v>
      </c>
      <c r="I61" s="163" t="s">
        <v>13</v>
      </c>
    </row>
    <row r="62" spans="2:9" ht="19" thickBot="1">
      <c r="B62" s="157"/>
      <c r="C62" s="169" t="s">
        <v>95</v>
      </c>
      <c r="D62" s="158">
        <f>D61+D60+D58+D55+D54+D51+D49+D47+D45+D43+D41+D39+D36+D35+D33+D31+D29+D27+D25+D23+D17+D16+D15+D14+D13+D12+D11+D10+D9+D8</f>
        <v>12320.79</v>
      </c>
      <c r="E62" s="159">
        <f>E8+E9+E10+E11+E12+E13+E14+E15+E16+E17+E23+E24+E25+E26+E27+E28+E29+E30+E31+E32+E33+E34+E35+E36+E37+E38+E39+E40+E41+E42+E43+E44+E45+E46+E47+E48+E49+E50+E51+E54+E55+E56+E58+E59+E60+E61</f>
        <v>5937959.9299999997</v>
      </c>
      <c r="F62" s="160">
        <f>F57+F53+F52++F22+F21+F20+F19+F18+F7</f>
        <v>12398.59</v>
      </c>
      <c r="G62" s="161">
        <f>G57+G53+G52+G22+G21+G20+G19+G18+G7</f>
        <v>5943627.9000000004</v>
      </c>
      <c r="H62" s="162">
        <v>5667.97</v>
      </c>
      <c r="I62" s="117"/>
    </row>
  </sheetData>
  <pageMargins left="0.25" right="0.25" top="0.75" bottom="0.75" header="0.3" footer="0.3"/>
  <pageSetup scale="8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I48"/>
  <sheetViews>
    <sheetView topLeftCell="A25" zoomScaleNormal="100" workbookViewId="0">
      <selection activeCell="G12" sqref="G12"/>
    </sheetView>
  </sheetViews>
  <sheetFormatPr baseColWidth="10" defaultColWidth="11" defaultRowHeight="14.5"/>
  <cols>
    <col min="1" max="1" width="4.453125" customWidth="1"/>
    <col min="3" max="3" width="38.81640625" customWidth="1"/>
    <col min="4" max="4" width="13.81640625" bestFit="1" customWidth="1"/>
    <col min="5" max="5" width="20.1796875" customWidth="1"/>
    <col min="6" max="6" width="13.81640625" bestFit="1" customWidth="1"/>
    <col min="7" max="7" width="17.453125" customWidth="1"/>
    <col min="8" max="8" width="16.81640625" customWidth="1"/>
    <col min="9" max="9" width="16.7265625" customWidth="1"/>
  </cols>
  <sheetData>
    <row r="2" spans="2:9" ht="71.25" customHeight="1">
      <c r="B2" s="1"/>
      <c r="C2" s="2"/>
      <c r="D2" s="2" t="s">
        <v>46</v>
      </c>
      <c r="E2" s="2"/>
      <c r="F2" s="2"/>
      <c r="G2" s="2" t="s">
        <v>401</v>
      </c>
      <c r="H2" s="2"/>
      <c r="I2" s="3"/>
    </row>
    <row r="3" spans="2:9">
      <c r="B3" s="4" t="s">
        <v>1</v>
      </c>
      <c r="C3" s="4" t="s">
        <v>2</v>
      </c>
      <c r="D3" s="37" t="s">
        <v>3</v>
      </c>
      <c r="E3" s="38" t="s">
        <v>4</v>
      </c>
      <c r="F3" s="39" t="s">
        <v>5</v>
      </c>
      <c r="G3" s="39" t="s">
        <v>6</v>
      </c>
      <c r="H3" s="8" t="s">
        <v>7</v>
      </c>
      <c r="I3" s="9" t="s">
        <v>8</v>
      </c>
    </row>
    <row r="4" spans="2:9">
      <c r="B4" s="40">
        <v>46142</v>
      </c>
      <c r="C4" s="41" t="s">
        <v>47</v>
      </c>
      <c r="D4" s="42"/>
      <c r="E4" s="43">
        <v>16.100000000000001</v>
      </c>
      <c r="F4" s="41"/>
      <c r="G4" s="41"/>
      <c r="H4" s="44">
        <f>'Abril 2026'!H61-E4</f>
        <v>5651.87000000022</v>
      </c>
      <c r="I4" s="45" t="s">
        <v>25</v>
      </c>
    </row>
    <row r="5" spans="2:9">
      <c r="B5" s="10">
        <v>46146</v>
      </c>
      <c r="C5" s="8" t="s">
        <v>48</v>
      </c>
      <c r="D5" s="19">
        <v>2.7</v>
      </c>
      <c r="E5" s="19">
        <v>1321.79</v>
      </c>
      <c r="F5" s="14"/>
      <c r="G5" s="15"/>
      <c r="H5" s="33">
        <f>H4-E5</f>
        <v>4330.08000000022</v>
      </c>
      <c r="I5" s="17" t="s">
        <v>13</v>
      </c>
    </row>
    <row r="6" spans="2:9">
      <c r="B6" s="46">
        <v>46148</v>
      </c>
      <c r="C6" s="47" t="s">
        <v>9</v>
      </c>
      <c r="D6" s="48"/>
      <c r="E6" s="49"/>
      <c r="F6" s="50">
        <v>137</v>
      </c>
      <c r="G6" s="51">
        <v>67656.72</v>
      </c>
      <c r="H6" s="52">
        <f>H5+G6</f>
        <v>71986.800000000207</v>
      </c>
      <c r="I6" s="47" t="s">
        <v>10</v>
      </c>
    </row>
    <row r="7" spans="2:9">
      <c r="B7" s="10">
        <v>46149</v>
      </c>
      <c r="C7" s="8" t="s">
        <v>49</v>
      </c>
      <c r="D7" s="30">
        <v>37.130000000000003</v>
      </c>
      <c r="E7" s="19">
        <v>18447.3</v>
      </c>
      <c r="F7" s="14"/>
      <c r="G7" s="15"/>
      <c r="H7" s="33">
        <f>H6-E7</f>
        <v>53539.500000000196</v>
      </c>
      <c r="I7" s="17" t="s">
        <v>10</v>
      </c>
    </row>
    <row r="8" spans="2:9">
      <c r="B8" s="10">
        <v>46149</v>
      </c>
      <c r="C8" s="53" t="s">
        <v>50</v>
      </c>
      <c r="D8" s="13">
        <v>0.11</v>
      </c>
      <c r="E8" s="13">
        <v>55.34</v>
      </c>
      <c r="F8" s="15"/>
      <c r="G8" s="15"/>
      <c r="H8" s="33">
        <f>H7-E8</f>
        <v>53484.1600000002</v>
      </c>
      <c r="I8" s="17" t="s">
        <v>25</v>
      </c>
    </row>
    <row r="9" spans="2:9">
      <c r="B9" s="10">
        <v>46153</v>
      </c>
      <c r="C9" s="15" t="s">
        <v>51</v>
      </c>
      <c r="D9" s="19">
        <v>28.37</v>
      </c>
      <c r="E9" s="30">
        <v>14200</v>
      </c>
      <c r="F9" s="15"/>
      <c r="G9" s="15"/>
      <c r="H9" s="33">
        <f>H8-E9</f>
        <v>39284.1600000002</v>
      </c>
      <c r="I9" s="8" t="s">
        <v>13</v>
      </c>
    </row>
    <row r="10" spans="2:9">
      <c r="B10" s="10">
        <v>46153</v>
      </c>
      <c r="C10" s="15" t="s">
        <v>52</v>
      </c>
      <c r="D10" s="19">
        <v>13</v>
      </c>
      <c r="E10" s="30">
        <v>6504.68</v>
      </c>
      <c r="F10" s="15"/>
      <c r="G10" s="15"/>
      <c r="H10" s="33">
        <f>H9-E10</f>
        <v>32779.4800000002</v>
      </c>
      <c r="I10" s="8" t="s">
        <v>13</v>
      </c>
    </row>
    <row r="11" spans="2:9">
      <c r="B11" s="10">
        <v>46153</v>
      </c>
      <c r="C11" s="15" t="s">
        <v>53</v>
      </c>
      <c r="D11" s="13">
        <v>19.13</v>
      </c>
      <c r="E11" s="54">
        <v>9573.81</v>
      </c>
      <c r="F11" s="15"/>
      <c r="G11" s="15"/>
      <c r="H11" s="33">
        <f>H10-E11</f>
        <v>23205.670000000198</v>
      </c>
      <c r="I11" s="8" t="s">
        <v>13</v>
      </c>
    </row>
    <row r="12" spans="2:9" ht="43.5">
      <c r="B12" s="55">
        <v>46154</v>
      </c>
      <c r="C12" s="56" t="s">
        <v>190</v>
      </c>
      <c r="D12" s="57"/>
      <c r="E12" s="58"/>
      <c r="F12" s="59">
        <v>7819</v>
      </c>
      <c r="G12" s="60">
        <v>3947927.26</v>
      </c>
      <c r="H12" s="61">
        <f>H11+G12</f>
        <v>3971132.93</v>
      </c>
      <c r="I12" s="62" t="s">
        <v>10</v>
      </c>
    </row>
    <row r="13" spans="2:9">
      <c r="B13" s="55">
        <v>46154</v>
      </c>
      <c r="C13" s="63" t="s">
        <v>55</v>
      </c>
      <c r="D13" s="58"/>
      <c r="E13" s="57"/>
      <c r="F13" s="63">
        <v>86.67</v>
      </c>
      <c r="G13" s="60">
        <v>44079.040000000001</v>
      </c>
      <c r="H13" s="61">
        <f>H12+G13</f>
        <v>4015211.97</v>
      </c>
      <c r="I13" s="62" t="s">
        <v>10</v>
      </c>
    </row>
    <row r="14" spans="2:9" ht="29">
      <c r="B14" s="10">
        <v>46155</v>
      </c>
      <c r="C14" s="64" t="s">
        <v>191</v>
      </c>
      <c r="D14" s="19">
        <v>2015</v>
      </c>
      <c r="E14" s="30">
        <v>1024829.81</v>
      </c>
      <c r="F14" s="15"/>
      <c r="G14" s="15"/>
      <c r="H14" s="33">
        <f>H13-E14</f>
        <v>2990382.16</v>
      </c>
      <c r="I14" s="8" t="s">
        <v>10</v>
      </c>
    </row>
    <row r="15" spans="2:9">
      <c r="B15" s="10">
        <v>46155</v>
      </c>
      <c r="C15" s="64" t="s">
        <v>31</v>
      </c>
      <c r="D15" s="19">
        <v>6.04</v>
      </c>
      <c r="E15" s="30">
        <v>3074.48</v>
      </c>
      <c r="F15" s="15"/>
      <c r="G15" s="15"/>
      <c r="H15" s="33">
        <f>H14-E15</f>
        <v>2987307.68</v>
      </c>
      <c r="I15" s="8" t="s">
        <v>25</v>
      </c>
    </row>
    <row r="16" spans="2:9" ht="29">
      <c r="B16" s="10">
        <v>46155</v>
      </c>
      <c r="C16" s="64" t="s">
        <v>192</v>
      </c>
      <c r="D16" s="19">
        <v>5784.34</v>
      </c>
      <c r="E16" s="30">
        <v>2941916.72</v>
      </c>
      <c r="F16" s="15"/>
      <c r="G16" s="15"/>
      <c r="H16" s="33">
        <f>H15-E16</f>
        <v>45390.96</v>
      </c>
      <c r="I16" s="8" t="s">
        <v>10</v>
      </c>
    </row>
    <row r="17" spans="2:9">
      <c r="B17" s="10">
        <v>46155</v>
      </c>
      <c r="C17" s="15" t="s">
        <v>31</v>
      </c>
      <c r="D17" s="13">
        <v>17.350000000000001</v>
      </c>
      <c r="E17" s="12">
        <v>8825.75</v>
      </c>
      <c r="F17" s="15"/>
      <c r="G17" s="15"/>
      <c r="H17" s="33">
        <f>H16-E17</f>
        <v>36565.21</v>
      </c>
      <c r="I17" s="8" t="s">
        <v>25</v>
      </c>
    </row>
    <row r="18" spans="2:9" ht="29">
      <c r="B18" s="55">
        <v>46155</v>
      </c>
      <c r="C18" s="56" t="s">
        <v>58</v>
      </c>
      <c r="D18" s="65"/>
      <c r="E18" s="63"/>
      <c r="F18" s="63">
        <v>19.66</v>
      </c>
      <c r="G18" s="66">
        <v>10000</v>
      </c>
      <c r="H18" s="61">
        <f>H17+G18</f>
        <v>46565.21</v>
      </c>
      <c r="I18" s="63" t="s">
        <v>10</v>
      </c>
    </row>
    <row r="19" spans="2:9" ht="29">
      <c r="B19" s="10">
        <v>46155</v>
      </c>
      <c r="C19" s="64" t="s">
        <v>59</v>
      </c>
      <c r="D19" s="13">
        <v>85.78</v>
      </c>
      <c r="E19" s="54">
        <v>43628.76</v>
      </c>
      <c r="F19" s="15"/>
      <c r="G19" s="15"/>
      <c r="H19" s="33">
        <f>H18-E19</f>
        <v>2936.4499999999598</v>
      </c>
      <c r="I19" s="8" t="s">
        <v>13</v>
      </c>
    </row>
    <row r="20" spans="2:9">
      <c r="B20" s="10">
        <v>46155</v>
      </c>
      <c r="C20" s="15" t="s">
        <v>60</v>
      </c>
      <c r="D20" s="13">
        <v>2</v>
      </c>
      <c r="E20" s="30">
        <v>1018</v>
      </c>
      <c r="F20" s="15"/>
      <c r="G20" s="15"/>
      <c r="H20" s="33">
        <f>H19-E20</f>
        <v>1918.44999999996</v>
      </c>
      <c r="I20" s="8" t="s">
        <v>13</v>
      </c>
    </row>
    <row r="21" spans="2:9">
      <c r="B21" s="55">
        <v>46158</v>
      </c>
      <c r="C21" s="63" t="s">
        <v>61</v>
      </c>
      <c r="D21" s="63"/>
      <c r="E21" s="67"/>
      <c r="F21" s="61">
        <v>1235.45</v>
      </c>
      <c r="G21" s="68">
        <v>650919.31000000006</v>
      </c>
      <c r="H21" s="61">
        <f>H20+G21</f>
        <v>652837.76</v>
      </c>
      <c r="I21" s="62" t="s">
        <v>10</v>
      </c>
    </row>
    <row r="22" spans="2:9">
      <c r="B22" s="55">
        <v>46158</v>
      </c>
      <c r="C22" s="63" t="s">
        <v>61</v>
      </c>
      <c r="D22" s="63"/>
      <c r="E22" s="67"/>
      <c r="F22" s="61">
        <v>1235.45</v>
      </c>
      <c r="G22" s="68">
        <v>650919.31000000006</v>
      </c>
      <c r="H22" s="61">
        <f>H21+G22</f>
        <v>1303757.07</v>
      </c>
      <c r="I22" s="62" t="s">
        <v>10</v>
      </c>
    </row>
    <row r="23" spans="2:9">
      <c r="B23" s="10">
        <v>46158</v>
      </c>
      <c r="C23" s="15" t="s">
        <v>62</v>
      </c>
      <c r="D23" s="13">
        <v>1235.45</v>
      </c>
      <c r="E23" s="54">
        <v>650919.31000000006</v>
      </c>
      <c r="F23" s="15"/>
      <c r="G23" s="15"/>
      <c r="H23" s="33">
        <f>H22-E23</f>
        <v>652837.76</v>
      </c>
      <c r="I23" s="8" t="s">
        <v>10</v>
      </c>
    </row>
    <row r="24" spans="2:9">
      <c r="B24" s="10">
        <v>46158</v>
      </c>
      <c r="C24" s="15" t="s">
        <v>31</v>
      </c>
      <c r="D24" s="13">
        <v>3.71</v>
      </c>
      <c r="E24" s="54">
        <v>1952.75</v>
      </c>
      <c r="F24" s="15"/>
      <c r="G24" s="15"/>
      <c r="H24" s="33">
        <f>H23-E24</f>
        <v>650885.01</v>
      </c>
      <c r="I24" s="8" t="s">
        <v>25</v>
      </c>
    </row>
    <row r="25" spans="2:9">
      <c r="B25" s="10">
        <v>46158</v>
      </c>
      <c r="C25" s="15" t="s">
        <v>62</v>
      </c>
      <c r="D25" s="13">
        <v>1228.06</v>
      </c>
      <c r="E25" s="54">
        <v>647025.49</v>
      </c>
      <c r="F25" s="15"/>
      <c r="G25" s="15"/>
      <c r="H25" s="33">
        <f>H24-E25</f>
        <v>3859.52000000002</v>
      </c>
      <c r="I25" s="8" t="s">
        <v>10</v>
      </c>
    </row>
    <row r="26" spans="2:9">
      <c r="B26" s="10">
        <v>46158</v>
      </c>
      <c r="C26" s="15" t="s">
        <v>31</v>
      </c>
      <c r="D26" s="13">
        <v>3.68</v>
      </c>
      <c r="E26" s="54">
        <v>1941.07</v>
      </c>
      <c r="F26" s="15"/>
      <c r="G26" s="15"/>
      <c r="H26" s="33">
        <f>H25-E26</f>
        <v>1918.4500000000201</v>
      </c>
      <c r="I26" s="8" t="s">
        <v>25</v>
      </c>
    </row>
    <row r="27" spans="2:9">
      <c r="B27" s="10">
        <v>46163</v>
      </c>
      <c r="C27" s="15" t="s">
        <v>63</v>
      </c>
      <c r="D27" s="13">
        <v>1.39</v>
      </c>
      <c r="E27" s="12">
        <v>733.15</v>
      </c>
      <c r="F27" s="15"/>
      <c r="G27" s="15"/>
      <c r="H27" s="33">
        <f>H26-E27</f>
        <v>1185.30000000002</v>
      </c>
      <c r="I27" s="8" t="s">
        <v>13</v>
      </c>
    </row>
    <row r="28" spans="2:9">
      <c r="B28" s="69">
        <v>46168</v>
      </c>
      <c r="C28" s="70" t="s">
        <v>64</v>
      </c>
      <c r="D28" s="71"/>
      <c r="E28" s="70"/>
      <c r="F28" s="72">
        <v>1200</v>
      </c>
      <c r="G28" s="73">
        <v>642462.36</v>
      </c>
      <c r="H28" s="74">
        <f>H27+G28</f>
        <v>643647.66</v>
      </c>
      <c r="I28" s="75" t="s">
        <v>10</v>
      </c>
    </row>
    <row r="29" spans="2:9">
      <c r="B29" s="10">
        <v>46168</v>
      </c>
      <c r="C29" s="15" t="s">
        <v>65</v>
      </c>
      <c r="D29" s="19">
        <v>1000</v>
      </c>
      <c r="E29" s="54">
        <v>535385.30000000005</v>
      </c>
      <c r="F29" s="15"/>
      <c r="G29" s="15"/>
      <c r="H29" s="76">
        <f>H28-E29</f>
        <v>108262.36</v>
      </c>
      <c r="I29" s="8" t="s">
        <v>10</v>
      </c>
    </row>
    <row r="30" spans="2:9">
      <c r="B30" s="10">
        <v>46168</v>
      </c>
      <c r="C30" s="15" t="s">
        <v>31</v>
      </c>
      <c r="D30" s="19">
        <v>2.97</v>
      </c>
      <c r="E30" s="54">
        <v>1606.15</v>
      </c>
      <c r="F30" s="15"/>
      <c r="G30" s="15"/>
      <c r="H30" s="76">
        <f>H29-E30</f>
        <v>106656.21</v>
      </c>
      <c r="I30" s="8"/>
    </row>
    <row r="31" spans="2:9">
      <c r="B31" s="10">
        <v>46168</v>
      </c>
      <c r="C31" s="15" t="s">
        <v>66</v>
      </c>
      <c r="D31" s="19">
        <v>15.14</v>
      </c>
      <c r="E31" s="30">
        <v>8103.18</v>
      </c>
      <c r="F31" s="15"/>
      <c r="G31" s="15"/>
      <c r="H31" s="33">
        <f>H30-E31</f>
        <v>98553.03</v>
      </c>
      <c r="I31" s="8" t="s">
        <v>10</v>
      </c>
    </row>
    <row r="32" spans="2:9">
      <c r="B32" s="10">
        <v>46168</v>
      </c>
      <c r="C32" s="15" t="s">
        <v>67</v>
      </c>
      <c r="D32" s="13">
        <v>0.55000000000000004</v>
      </c>
      <c r="E32" s="30">
        <v>292</v>
      </c>
      <c r="F32" s="15"/>
      <c r="G32" s="15"/>
      <c r="H32" s="33">
        <f>H31-E32</f>
        <v>98261.03</v>
      </c>
      <c r="I32" s="8" t="s">
        <v>10</v>
      </c>
    </row>
    <row r="33" spans="2:9">
      <c r="B33" s="10">
        <v>46168</v>
      </c>
      <c r="C33" s="15" t="s">
        <v>68</v>
      </c>
      <c r="D33" s="13">
        <v>39.31</v>
      </c>
      <c r="E33" s="30">
        <v>21043.55</v>
      </c>
      <c r="F33" s="15"/>
      <c r="G33" s="15"/>
      <c r="H33" s="33">
        <f>H32-E33</f>
        <v>77217.48</v>
      </c>
      <c r="I33" s="8" t="s">
        <v>10</v>
      </c>
    </row>
    <row r="34" spans="2:9">
      <c r="B34" s="69">
        <v>46171</v>
      </c>
      <c r="C34" s="70" t="s">
        <v>69</v>
      </c>
      <c r="D34" s="70"/>
      <c r="E34" s="70"/>
      <c r="F34" s="72">
        <v>1256.3699999999999</v>
      </c>
      <c r="G34" s="73">
        <v>690216.45</v>
      </c>
      <c r="H34" s="74">
        <f>H33+G34</f>
        <v>767433.93</v>
      </c>
      <c r="I34" s="75" t="s">
        <v>10</v>
      </c>
    </row>
    <row r="35" spans="2:9">
      <c r="B35" s="69">
        <v>46171</v>
      </c>
      <c r="C35" s="70" t="s">
        <v>69</v>
      </c>
      <c r="D35" s="71"/>
      <c r="E35" s="70"/>
      <c r="F35" s="72">
        <v>1256.3699999999999</v>
      </c>
      <c r="G35" s="73">
        <v>690216.45</v>
      </c>
      <c r="H35" s="74">
        <f>H34+G35</f>
        <v>1457650.38</v>
      </c>
      <c r="I35" s="75" t="s">
        <v>10</v>
      </c>
    </row>
    <row r="36" spans="2:9">
      <c r="B36" s="10">
        <v>46171</v>
      </c>
      <c r="C36" s="15" t="s">
        <v>62</v>
      </c>
      <c r="D36" s="19">
        <v>1252.6600000000001</v>
      </c>
      <c r="E36" s="30">
        <v>688176.92</v>
      </c>
      <c r="F36" s="15"/>
      <c r="G36" s="15"/>
      <c r="H36" s="33">
        <f t="shared" ref="H36:H44" si="0">H35-E36</f>
        <v>769473.46</v>
      </c>
      <c r="I36" s="8" t="s">
        <v>10</v>
      </c>
    </row>
    <row r="37" spans="2:9">
      <c r="B37" s="10">
        <v>46171</v>
      </c>
      <c r="C37" s="15" t="s">
        <v>31</v>
      </c>
      <c r="D37" s="13">
        <v>3.76</v>
      </c>
      <c r="E37" s="77">
        <v>2064.5300000000002</v>
      </c>
      <c r="F37" s="15"/>
      <c r="G37" s="15"/>
      <c r="H37" s="33">
        <f t="shared" si="0"/>
        <v>767408.93</v>
      </c>
      <c r="I37" s="8" t="s">
        <v>25</v>
      </c>
    </row>
    <row r="38" spans="2:9">
      <c r="B38" s="10">
        <v>46171</v>
      </c>
      <c r="C38" s="15" t="s">
        <v>62</v>
      </c>
      <c r="D38" s="19">
        <v>1252.6600000000001</v>
      </c>
      <c r="E38" s="30">
        <v>688176.92</v>
      </c>
      <c r="F38" s="15"/>
      <c r="G38" s="15"/>
      <c r="H38" s="33">
        <f t="shared" si="0"/>
        <v>79232.009999999806</v>
      </c>
      <c r="I38" s="8" t="s">
        <v>10</v>
      </c>
    </row>
    <row r="39" spans="2:9">
      <c r="B39" s="10">
        <v>46171</v>
      </c>
      <c r="C39" s="15" t="s">
        <v>70</v>
      </c>
      <c r="D39" s="13">
        <v>3.76</v>
      </c>
      <c r="E39" s="77">
        <v>2064.5300000000002</v>
      </c>
      <c r="F39" s="15"/>
      <c r="G39" s="15"/>
      <c r="H39" s="33">
        <f t="shared" si="0"/>
        <v>77167.479999999807</v>
      </c>
      <c r="I39" s="8" t="s">
        <v>25</v>
      </c>
    </row>
    <row r="40" spans="2:9" ht="29">
      <c r="B40" s="10">
        <v>46171</v>
      </c>
      <c r="C40" s="64" t="s">
        <v>71</v>
      </c>
      <c r="D40" s="19">
        <v>39</v>
      </c>
      <c r="E40" s="30">
        <v>21425.49</v>
      </c>
      <c r="F40" s="15"/>
      <c r="G40" s="15"/>
      <c r="H40" s="33">
        <f t="shared" si="0"/>
        <v>55741.989999999802</v>
      </c>
      <c r="I40" s="8" t="s">
        <v>10</v>
      </c>
    </row>
    <row r="41" spans="2:9">
      <c r="B41" s="10">
        <v>46171</v>
      </c>
      <c r="C41" s="15" t="s">
        <v>31</v>
      </c>
      <c r="D41" s="12">
        <v>0.12</v>
      </c>
      <c r="E41" s="13">
        <v>64.27</v>
      </c>
      <c r="F41" s="14"/>
      <c r="G41" s="15"/>
      <c r="H41" s="20">
        <f t="shared" si="0"/>
        <v>55677.719999999797</v>
      </c>
      <c r="I41" s="17" t="s">
        <v>25</v>
      </c>
    </row>
    <row r="42" spans="2:9">
      <c r="B42" s="10">
        <v>46173</v>
      </c>
      <c r="C42" s="15" t="s">
        <v>72</v>
      </c>
      <c r="D42" s="12"/>
      <c r="E42" s="13">
        <v>0.1</v>
      </c>
      <c r="F42" s="14"/>
      <c r="G42" s="15"/>
      <c r="H42" s="20">
        <f t="shared" si="0"/>
        <v>55677.619999999799</v>
      </c>
      <c r="I42" s="17" t="s">
        <v>25</v>
      </c>
    </row>
    <row r="43" spans="2:9">
      <c r="B43" s="10">
        <v>46173</v>
      </c>
      <c r="C43" s="11" t="s">
        <v>73</v>
      </c>
      <c r="D43" s="12"/>
      <c r="E43" s="13">
        <v>8</v>
      </c>
      <c r="F43" s="14"/>
      <c r="G43" s="15"/>
      <c r="H43" s="20">
        <f t="shared" si="0"/>
        <v>55669.619999999799</v>
      </c>
      <c r="I43" s="17" t="s">
        <v>25</v>
      </c>
    </row>
    <row r="44" spans="2:9" ht="15" thickBot="1">
      <c r="B44" s="10">
        <v>46173</v>
      </c>
      <c r="C44" s="11" t="s">
        <v>74</v>
      </c>
      <c r="D44" s="12"/>
      <c r="E44" s="13">
        <v>8</v>
      </c>
      <c r="F44" s="14"/>
      <c r="G44" s="15"/>
      <c r="H44" s="20">
        <f t="shared" si="0"/>
        <v>55661.619999999799</v>
      </c>
      <c r="I44" s="17" t="s">
        <v>25</v>
      </c>
    </row>
    <row r="45" spans="2:9" ht="19" thickBot="1">
      <c r="B45" s="165"/>
      <c r="C45" s="166" t="s">
        <v>95</v>
      </c>
      <c r="D45" s="159">
        <f>D5+D7+D8+D9+D10+D11+D14+D15+D16+D17+D19+D20+D23+D24+D25+D26+D27+D29+D30+D31+D32+D33+D36+D37+D38+D39+D40+D41</f>
        <v>14093.17</v>
      </c>
      <c r="E45" s="158">
        <f>E5+E7+E8+E9+E10+E11+E14+E15+E16+E17+E19+E20+E23+E24+E25+E26+E27+E29+E30+E31+E32+E33+E36+E37+E38+E39+E40+E41+E42+E43+E44</f>
        <v>7344387.1500000004</v>
      </c>
      <c r="F45" s="161">
        <f>F6+F12+F13+F18+F21+F22+F28+F34+F35</f>
        <v>14245.97</v>
      </c>
      <c r="G45" s="161">
        <f>G6+G12+G13+G18+G21+G22+G28+G34+G35</f>
        <v>7394396.9000000004</v>
      </c>
      <c r="H45" s="168">
        <v>559661.62</v>
      </c>
      <c r="I45" s="167"/>
    </row>
    <row r="46" spans="2:9">
      <c r="B46" s="78"/>
      <c r="C46" s="78"/>
      <c r="D46" s="78"/>
      <c r="E46" s="78"/>
      <c r="F46" s="78"/>
      <c r="G46" s="78"/>
      <c r="H46" s="78"/>
      <c r="I46" s="78"/>
    </row>
    <row r="47" spans="2:9">
      <c r="B47" s="78"/>
      <c r="C47" s="78"/>
      <c r="D47" s="78"/>
      <c r="E47" s="78"/>
      <c r="F47" s="78"/>
      <c r="G47" s="78"/>
      <c r="H47" s="78"/>
      <c r="I47" s="78"/>
    </row>
    <row r="48" spans="2:9">
      <c r="B48" s="78"/>
      <c r="C48" s="78"/>
      <c r="D48" s="78"/>
      <c r="E48" s="78"/>
      <c r="F48" s="78"/>
      <c r="G48" s="78"/>
      <c r="H48" s="78"/>
      <c r="I48" s="78"/>
    </row>
  </sheetData>
  <pageMargins left="0.25" right="0.25" top="0.75" bottom="0.75" header="0.3" footer="0.3"/>
  <pageSetup scale="8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I127"/>
  <sheetViews>
    <sheetView topLeftCell="A93" zoomScaleNormal="100" workbookViewId="0">
      <selection activeCell="C42" sqref="C42"/>
    </sheetView>
  </sheetViews>
  <sheetFormatPr baseColWidth="10" defaultColWidth="11" defaultRowHeight="14.5"/>
  <cols>
    <col min="2" max="2" width="11.453125" customWidth="1"/>
    <col min="3" max="3" width="45.1796875" customWidth="1"/>
    <col min="4" max="4" width="15.1796875" customWidth="1"/>
    <col min="5" max="5" width="19.7265625" customWidth="1"/>
    <col min="6" max="6" width="13.7265625" customWidth="1"/>
    <col min="7" max="7" width="18.54296875" customWidth="1"/>
    <col min="8" max="8" width="18.453125" customWidth="1"/>
    <col min="9" max="9" width="16.54296875" customWidth="1"/>
  </cols>
  <sheetData>
    <row r="2" spans="2:9" ht="76.5" customHeight="1">
      <c r="B2" s="1"/>
      <c r="C2" s="2"/>
      <c r="D2" s="2" t="s">
        <v>75</v>
      </c>
      <c r="E2" s="2"/>
      <c r="F2" s="2"/>
      <c r="G2" s="2" t="s">
        <v>401</v>
      </c>
      <c r="H2" s="2"/>
      <c r="I2" s="3"/>
    </row>
    <row r="3" spans="2:9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>
      <c r="B4" s="10">
        <v>46173</v>
      </c>
      <c r="C4" s="11" t="s">
        <v>74</v>
      </c>
      <c r="D4" s="12"/>
      <c r="E4" s="13">
        <v>8</v>
      </c>
      <c r="F4" s="14"/>
      <c r="G4" s="15"/>
      <c r="H4" s="16">
        <v>55661.62</v>
      </c>
      <c r="I4" s="17" t="s">
        <v>25</v>
      </c>
    </row>
    <row r="5" spans="2:9">
      <c r="B5" s="10">
        <v>46175</v>
      </c>
      <c r="C5" s="18" t="s">
        <v>80</v>
      </c>
      <c r="D5" s="12">
        <v>23.04</v>
      </c>
      <c r="E5" s="19">
        <v>15098.66</v>
      </c>
      <c r="F5" s="15"/>
      <c r="G5" s="15"/>
      <c r="H5" s="20">
        <f>H4-E5</f>
        <v>40562.960000000006</v>
      </c>
      <c r="I5" s="17" t="s">
        <v>13</v>
      </c>
    </row>
    <row r="6" spans="2:9">
      <c r="B6" s="21">
        <v>46177</v>
      </c>
      <c r="C6" s="22" t="s">
        <v>81</v>
      </c>
      <c r="D6" s="23">
        <v>9.7799999999999994</v>
      </c>
      <c r="E6" s="24">
        <v>6410.75</v>
      </c>
      <c r="F6" s="25"/>
      <c r="G6" s="26"/>
      <c r="H6" s="27">
        <f>H5-E6</f>
        <v>34152.210000000006</v>
      </c>
      <c r="I6" s="28" t="s">
        <v>13</v>
      </c>
    </row>
    <row r="7" spans="2:9">
      <c r="B7" s="10">
        <v>46178</v>
      </c>
      <c r="C7" s="29" t="s">
        <v>82</v>
      </c>
      <c r="D7" s="30">
        <v>1.72</v>
      </c>
      <c r="E7" s="19">
        <v>1128</v>
      </c>
      <c r="F7" s="14"/>
      <c r="G7" s="15"/>
      <c r="H7" s="20">
        <f>H6-E7</f>
        <v>33024.210000000006</v>
      </c>
      <c r="I7" s="31" t="s">
        <v>13</v>
      </c>
    </row>
    <row r="8" spans="2:9">
      <c r="B8" s="10">
        <v>46181</v>
      </c>
      <c r="C8" s="32" t="s">
        <v>83</v>
      </c>
      <c r="D8" s="13">
        <v>30.5</v>
      </c>
      <c r="E8" s="19">
        <v>19991.13</v>
      </c>
      <c r="F8" s="15"/>
      <c r="G8" s="15"/>
      <c r="H8" s="33">
        <f>H7-E8</f>
        <v>13033.080000000005</v>
      </c>
      <c r="I8" s="31" t="s">
        <v>10</v>
      </c>
    </row>
    <row r="9" spans="2:9">
      <c r="B9" s="10">
        <v>46181</v>
      </c>
      <c r="C9" s="29" t="s">
        <v>31</v>
      </c>
      <c r="D9" s="19">
        <v>0.09</v>
      </c>
      <c r="E9" s="30">
        <v>59.97</v>
      </c>
      <c r="F9" s="15"/>
      <c r="G9" s="15"/>
      <c r="H9" s="33">
        <f>H8-E9</f>
        <v>12973.110000000006</v>
      </c>
      <c r="I9" s="34" t="s">
        <v>25</v>
      </c>
    </row>
    <row r="10" spans="2:9" ht="15" thickBot="1">
      <c r="B10" s="139">
        <v>46182</v>
      </c>
      <c r="C10" s="140" t="s">
        <v>84</v>
      </c>
      <c r="D10" s="141"/>
      <c r="E10" s="142"/>
      <c r="F10" s="141">
        <v>1753.2</v>
      </c>
      <c r="G10" s="143">
        <v>1912318.99</v>
      </c>
      <c r="H10" s="144">
        <f>H9+G10</f>
        <v>1925292.1</v>
      </c>
      <c r="I10" s="145" t="s">
        <v>10</v>
      </c>
    </row>
    <row r="11" spans="2:9" ht="15" thickBot="1">
      <c r="B11" s="10">
        <v>46182</v>
      </c>
      <c r="C11" s="146" t="s">
        <v>90</v>
      </c>
      <c r="D11" s="19">
        <v>251.75</v>
      </c>
      <c r="E11" s="147">
        <v>171213.13</v>
      </c>
      <c r="F11" s="35"/>
      <c r="G11" s="36"/>
      <c r="H11" s="33">
        <f t="shared" ref="H11:H16" si="0">H10-E11</f>
        <v>1754078.9700000002</v>
      </c>
      <c r="I11" s="249" t="s">
        <v>13</v>
      </c>
    </row>
    <row r="12" spans="2:9" ht="15" thickBot="1">
      <c r="B12" s="10">
        <v>46182</v>
      </c>
      <c r="C12" s="146" t="s">
        <v>90</v>
      </c>
      <c r="D12" s="19">
        <v>85.14</v>
      </c>
      <c r="E12" s="148">
        <v>57903.64</v>
      </c>
      <c r="F12" s="35"/>
      <c r="G12" s="36"/>
      <c r="H12" s="33">
        <f t="shared" si="0"/>
        <v>1696175.3300000003</v>
      </c>
      <c r="I12" s="249" t="s">
        <v>13</v>
      </c>
    </row>
    <row r="13" spans="2:9">
      <c r="B13" s="10">
        <v>46185</v>
      </c>
      <c r="C13" s="11" t="s">
        <v>86</v>
      </c>
      <c r="D13" s="19">
        <v>24.85</v>
      </c>
      <c r="E13" s="30">
        <v>16898.009999999998</v>
      </c>
      <c r="F13" s="15"/>
      <c r="G13" s="15"/>
      <c r="H13" s="33">
        <f t="shared" si="0"/>
        <v>1679277.3200000003</v>
      </c>
      <c r="I13" s="34" t="s">
        <v>13</v>
      </c>
    </row>
    <row r="14" spans="2:9">
      <c r="B14" s="10">
        <v>46185</v>
      </c>
      <c r="C14" s="11" t="s">
        <v>87</v>
      </c>
      <c r="D14" s="19">
        <v>18.05</v>
      </c>
      <c r="E14" s="30">
        <v>12272.52</v>
      </c>
      <c r="F14" s="15"/>
      <c r="G14" s="15"/>
      <c r="H14" s="33">
        <f t="shared" si="0"/>
        <v>1667004.8000000003</v>
      </c>
      <c r="I14" s="34" t="s">
        <v>13</v>
      </c>
    </row>
    <row r="15" spans="2:9">
      <c r="B15" s="10">
        <v>46185</v>
      </c>
      <c r="C15" s="11" t="s">
        <v>88</v>
      </c>
      <c r="D15" s="19">
        <v>428.63</v>
      </c>
      <c r="E15" s="30">
        <v>291500</v>
      </c>
      <c r="F15" s="15"/>
      <c r="G15" s="15"/>
      <c r="H15" s="33">
        <f t="shared" si="0"/>
        <v>1375504.8000000003</v>
      </c>
      <c r="I15" s="34" t="s">
        <v>85</v>
      </c>
    </row>
    <row r="16" spans="2:9" ht="15" thickBot="1">
      <c r="B16" s="10">
        <v>46185</v>
      </c>
      <c r="C16" s="11" t="s">
        <v>89</v>
      </c>
      <c r="D16" s="19">
        <v>1.29</v>
      </c>
      <c r="E16" s="30">
        <v>874.5</v>
      </c>
      <c r="F16" s="15"/>
      <c r="G16" s="15"/>
      <c r="H16" s="33">
        <f t="shared" si="0"/>
        <v>1374630.3000000003</v>
      </c>
      <c r="I16" s="34" t="s">
        <v>25</v>
      </c>
    </row>
    <row r="17" spans="2:9" ht="15" thickBot="1">
      <c r="B17" s="139">
        <v>46186</v>
      </c>
      <c r="C17" s="140" t="s">
        <v>92</v>
      </c>
      <c r="D17" s="141"/>
      <c r="E17" s="143"/>
      <c r="F17" s="140">
        <v>0.28999999999999998</v>
      </c>
      <c r="G17" s="140">
        <v>98</v>
      </c>
      <c r="H17" s="144">
        <f>H16+G17</f>
        <v>1374728.3000000003</v>
      </c>
      <c r="I17" s="145" t="s">
        <v>13</v>
      </c>
    </row>
    <row r="18" spans="2:9" ht="15" thickBot="1">
      <c r="B18" s="139">
        <v>46186</v>
      </c>
      <c r="C18" s="140" t="s">
        <v>93</v>
      </c>
      <c r="D18" s="141"/>
      <c r="E18" s="143"/>
      <c r="F18" s="140">
        <v>0.14000000000000001</v>
      </c>
      <c r="G18" s="140">
        <v>196</v>
      </c>
      <c r="H18" s="144">
        <f>H17+G18</f>
        <v>1374924.3000000003</v>
      </c>
      <c r="I18" s="145" t="s">
        <v>13</v>
      </c>
    </row>
    <row r="19" spans="2:9" ht="15" thickBot="1">
      <c r="B19" s="149">
        <v>46186</v>
      </c>
      <c r="C19" s="150" t="s">
        <v>94</v>
      </c>
      <c r="D19" s="151">
        <v>0</v>
      </c>
      <c r="E19" s="155">
        <v>1.47</v>
      </c>
      <c r="F19" s="150"/>
      <c r="G19" s="150"/>
      <c r="H19" s="153">
        <f>H18-E19</f>
        <v>1374922.8300000003</v>
      </c>
      <c r="I19" s="152" t="s">
        <v>25</v>
      </c>
    </row>
    <row r="20" spans="2:9" ht="15" thickBot="1">
      <c r="B20" s="149">
        <v>46186</v>
      </c>
      <c r="C20" s="150" t="s">
        <v>94</v>
      </c>
      <c r="D20" s="151">
        <v>0</v>
      </c>
      <c r="E20" s="155">
        <v>2.94</v>
      </c>
      <c r="F20" s="150"/>
      <c r="G20" s="150"/>
      <c r="H20" s="153">
        <f>H19-E20</f>
        <v>1374919.8900000004</v>
      </c>
      <c r="I20" s="152" t="s">
        <v>25</v>
      </c>
    </row>
    <row r="21" spans="2:9" ht="15" thickBot="1">
      <c r="B21" s="10">
        <v>46188</v>
      </c>
      <c r="C21" s="146" t="s">
        <v>91</v>
      </c>
      <c r="D21" s="19">
        <v>1266.8</v>
      </c>
      <c r="E21" s="30">
        <v>861527.09</v>
      </c>
      <c r="F21" s="15"/>
      <c r="G21" s="15"/>
      <c r="H21" s="154">
        <f>H20-E21</f>
        <v>513392.8000000004</v>
      </c>
      <c r="I21" s="156" t="s">
        <v>10</v>
      </c>
    </row>
    <row r="22" spans="2:9">
      <c r="B22" s="10">
        <v>46189</v>
      </c>
      <c r="C22" s="146" t="s">
        <v>31</v>
      </c>
      <c r="D22" s="19">
        <v>3.8</v>
      </c>
      <c r="E22" s="30">
        <v>2584.58</v>
      </c>
      <c r="F22" s="15"/>
      <c r="G22" s="15"/>
      <c r="H22" s="154">
        <f>H21-E22</f>
        <v>510808.22000000038</v>
      </c>
      <c r="I22" s="156" t="s">
        <v>25</v>
      </c>
    </row>
    <row r="23" spans="2:9">
      <c r="B23" s="139">
        <v>46189</v>
      </c>
      <c r="C23" s="140" t="s">
        <v>110</v>
      </c>
      <c r="D23" s="141"/>
      <c r="E23" s="143"/>
      <c r="F23" s="170">
        <v>8162.63</v>
      </c>
      <c r="G23" s="141">
        <v>4836492.6100000003</v>
      </c>
      <c r="H23" s="144">
        <f>H22+G23</f>
        <v>5347300.830000001</v>
      </c>
      <c r="I23" s="145" t="s">
        <v>10</v>
      </c>
    </row>
    <row r="24" spans="2:9">
      <c r="B24" s="10">
        <v>46189</v>
      </c>
      <c r="C24" s="171" t="s">
        <v>96</v>
      </c>
      <c r="D24" s="19">
        <v>430.8</v>
      </c>
      <c r="E24" s="30">
        <v>296258.15000000002</v>
      </c>
      <c r="F24" s="15"/>
      <c r="G24" s="15"/>
      <c r="H24" s="33">
        <f t="shared" ref="H24:H31" si="1">H23-E24</f>
        <v>5051042.6800000006</v>
      </c>
      <c r="I24" s="172" t="s">
        <v>10</v>
      </c>
    </row>
    <row r="25" spans="2:9" ht="15" thickBot="1">
      <c r="B25" s="10">
        <v>46189</v>
      </c>
      <c r="C25" s="171" t="s">
        <v>31</v>
      </c>
      <c r="D25" s="19">
        <v>1.29</v>
      </c>
      <c r="E25" s="30">
        <v>888.77</v>
      </c>
      <c r="F25" s="15"/>
      <c r="G25" s="15"/>
      <c r="H25" s="33">
        <f t="shared" si="1"/>
        <v>5050153.9100000011</v>
      </c>
      <c r="I25" s="172" t="s">
        <v>25</v>
      </c>
    </row>
    <row r="26" spans="2:9" ht="15" thickBot="1">
      <c r="B26" s="10">
        <v>46189</v>
      </c>
      <c r="C26" s="174" t="s">
        <v>99</v>
      </c>
      <c r="D26" s="19">
        <v>250</v>
      </c>
      <c r="E26" s="30">
        <v>171924.53</v>
      </c>
      <c r="F26" s="15"/>
      <c r="G26" s="15"/>
      <c r="H26" s="33">
        <f t="shared" si="1"/>
        <v>4878229.3800000008</v>
      </c>
      <c r="I26" s="175" t="s">
        <v>10</v>
      </c>
    </row>
    <row r="27" spans="2:9" ht="15" thickBot="1">
      <c r="B27" s="10">
        <v>46189</v>
      </c>
      <c r="C27" s="174" t="s">
        <v>31</v>
      </c>
      <c r="D27" s="19">
        <v>0.75</v>
      </c>
      <c r="E27" s="30">
        <v>515.77</v>
      </c>
      <c r="F27" s="15"/>
      <c r="G27" s="15"/>
      <c r="H27" s="33">
        <f t="shared" si="1"/>
        <v>4877713.6100000013</v>
      </c>
      <c r="I27" s="175" t="s">
        <v>25</v>
      </c>
    </row>
    <row r="28" spans="2:9" ht="15" thickBot="1">
      <c r="B28" s="10">
        <v>46189</v>
      </c>
      <c r="C28" s="173" t="s">
        <v>97</v>
      </c>
      <c r="D28" s="19">
        <v>646.20000000000005</v>
      </c>
      <c r="E28" s="30">
        <v>444387.23</v>
      </c>
      <c r="F28" s="15"/>
      <c r="G28" s="15"/>
      <c r="H28" s="33">
        <f t="shared" si="1"/>
        <v>4433326.3800000008</v>
      </c>
      <c r="I28" s="172" t="s">
        <v>10</v>
      </c>
    </row>
    <row r="29" spans="2:9" ht="15" thickBot="1">
      <c r="B29" s="10">
        <v>46189</v>
      </c>
      <c r="C29" s="171" t="s">
        <v>31</v>
      </c>
      <c r="D29" s="19">
        <v>1.94</v>
      </c>
      <c r="E29" s="30">
        <v>1333.16</v>
      </c>
      <c r="F29" s="15"/>
      <c r="G29" s="15"/>
      <c r="H29" s="33">
        <f t="shared" si="1"/>
        <v>4431993.2200000007</v>
      </c>
      <c r="I29" s="172" t="s">
        <v>25</v>
      </c>
    </row>
    <row r="30" spans="2:9" ht="29.5" thickBot="1">
      <c r="B30" s="10">
        <v>46190</v>
      </c>
      <c r="C30" s="64" t="s">
        <v>98</v>
      </c>
      <c r="D30" s="19">
        <v>388.05</v>
      </c>
      <c r="E30" s="30">
        <v>268552.08</v>
      </c>
      <c r="F30" s="15"/>
      <c r="G30" s="15"/>
      <c r="H30" s="33">
        <f t="shared" si="1"/>
        <v>4163441.1400000006</v>
      </c>
      <c r="I30" s="8" t="s">
        <v>10</v>
      </c>
    </row>
    <row r="31" spans="2:9" ht="15" thickBot="1">
      <c r="B31" s="10">
        <v>46190</v>
      </c>
      <c r="C31" s="15" t="s">
        <v>31</v>
      </c>
      <c r="D31" s="19">
        <v>1.1599999999999999</v>
      </c>
      <c r="E31" s="30">
        <v>805.65</v>
      </c>
      <c r="F31" s="15"/>
      <c r="G31" s="15"/>
      <c r="H31" s="33">
        <f t="shared" si="1"/>
        <v>4162635.4900000007</v>
      </c>
      <c r="I31" s="8" t="s">
        <v>25</v>
      </c>
    </row>
    <row r="32" spans="2:9" ht="15" thickBot="1">
      <c r="B32" s="139">
        <v>46192</v>
      </c>
      <c r="C32" s="140" t="s">
        <v>139</v>
      </c>
      <c r="D32" s="141"/>
      <c r="E32" s="143"/>
      <c r="F32" s="140">
        <v>0.01</v>
      </c>
      <c r="G32" s="140">
        <v>4.9000000000000004</v>
      </c>
      <c r="H32" s="144">
        <f>H31+G32</f>
        <v>4162640.3900000006</v>
      </c>
      <c r="I32" s="145" t="s">
        <v>25</v>
      </c>
    </row>
    <row r="33" spans="2:9" ht="15" thickBot="1">
      <c r="B33" s="209">
        <v>46192</v>
      </c>
      <c r="C33" s="211" t="s">
        <v>94</v>
      </c>
      <c r="D33" s="213">
        <v>0</v>
      </c>
      <c r="E33" s="216">
        <v>7.0000000000000007E-2</v>
      </c>
      <c r="F33" s="211"/>
      <c r="G33" s="211"/>
      <c r="H33" s="217">
        <f t="shared" ref="H33:H47" si="2">H32-E33</f>
        <v>4162640.3200000008</v>
      </c>
      <c r="I33" s="214" t="s">
        <v>13</v>
      </c>
    </row>
    <row r="34" spans="2:9" ht="29.5" thickBot="1">
      <c r="B34" s="10">
        <v>46192</v>
      </c>
      <c r="C34" s="176" t="s">
        <v>100</v>
      </c>
      <c r="D34" s="19">
        <v>19.670000000000002</v>
      </c>
      <c r="E34" s="30">
        <v>11947.37</v>
      </c>
      <c r="F34" s="15"/>
      <c r="G34" s="15"/>
      <c r="H34" s="33">
        <f t="shared" si="2"/>
        <v>4150692.9500000007</v>
      </c>
      <c r="I34" s="177" t="s">
        <v>13</v>
      </c>
    </row>
    <row r="35" spans="2:9" ht="29.5" thickBot="1">
      <c r="B35" s="10">
        <v>46192</v>
      </c>
      <c r="C35" s="64" t="s">
        <v>101</v>
      </c>
      <c r="D35" s="19">
        <v>2993.13</v>
      </c>
      <c r="E35" s="30">
        <v>2087302.26</v>
      </c>
      <c r="F35" s="15"/>
      <c r="G35" s="15"/>
      <c r="H35" s="33">
        <f t="shared" si="2"/>
        <v>2063390.6900000006</v>
      </c>
      <c r="I35" s="8" t="s">
        <v>10</v>
      </c>
    </row>
    <row r="36" spans="2:9" ht="15" thickBot="1">
      <c r="B36" s="10">
        <v>46192</v>
      </c>
      <c r="C36" s="15" t="s">
        <v>31</v>
      </c>
      <c r="D36" s="19">
        <v>8.98</v>
      </c>
      <c r="E36" s="30">
        <v>6261.9</v>
      </c>
      <c r="F36" s="15"/>
      <c r="G36" s="15"/>
      <c r="H36" s="33">
        <f t="shared" si="2"/>
        <v>2057128.7900000007</v>
      </c>
      <c r="I36" s="8" t="s">
        <v>25</v>
      </c>
    </row>
    <row r="37" spans="2:9" ht="15" thickBot="1">
      <c r="B37" s="10">
        <v>46192</v>
      </c>
      <c r="C37" s="15" t="s">
        <v>102</v>
      </c>
      <c r="D37" s="19">
        <v>298.05</v>
      </c>
      <c r="E37" s="30">
        <v>207849.51</v>
      </c>
      <c r="F37" s="15"/>
      <c r="G37" s="15"/>
      <c r="H37" s="33">
        <f t="shared" si="2"/>
        <v>1849279.2800000007</v>
      </c>
      <c r="I37" s="8" t="s">
        <v>10</v>
      </c>
    </row>
    <row r="38" spans="2:9" ht="15" thickBot="1">
      <c r="B38" s="10">
        <v>46192</v>
      </c>
      <c r="C38" s="15" t="s">
        <v>31</v>
      </c>
      <c r="D38" s="19">
        <v>0.89</v>
      </c>
      <c r="E38" s="30">
        <v>623.54</v>
      </c>
      <c r="F38" s="15"/>
      <c r="G38" s="15"/>
      <c r="H38" s="33">
        <f t="shared" si="2"/>
        <v>1848655.7400000007</v>
      </c>
      <c r="I38" s="8" t="s">
        <v>25</v>
      </c>
    </row>
    <row r="39" spans="2:9" s="258" customFormat="1" ht="15" thickBot="1">
      <c r="B39" s="254">
        <v>46192</v>
      </c>
      <c r="C39" s="255" t="s">
        <v>103</v>
      </c>
      <c r="D39" s="256">
        <v>1306.47</v>
      </c>
      <c r="E39" s="257">
        <v>911087.85</v>
      </c>
      <c r="F39" s="255"/>
      <c r="G39" s="255"/>
      <c r="H39" s="116">
        <f t="shared" si="2"/>
        <v>937567.89000000071</v>
      </c>
      <c r="I39" s="53" t="s">
        <v>10</v>
      </c>
    </row>
    <row r="40" spans="2:9" ht="15" thickBot="1">
      <c r="B40" s="10">
        <v>46192</v>
      </c>
      <c r="C40" s="15" t="s">
        <v>31</v>
      </c>
      <c r="D40" s="19">
        <v>3.92</v>
      </c>
      <c r="E40" s="30">
        <v>2733.26</v>
      </c>
      <c r="F40" s="15"/>
      <c r="G40" s="15"/>
      <c r="H40" s="33">
        <f t="shared" si="2"/>
        <v>934834.6300000007</v>
      </c>
      <c r="I40" s="8" t="s">
        <v>25</v>
      </c>
    </row>
    <row r="41" spans="2:9" ht="15" thickBot="1">
      <c r="B41" s="10">
        <v>46192</v>
      </c>
      <c r="C41" s="15" t="s">
        <v>104</v>
      </c>
      <c r="D41" s="19">
        <v>87.1</v>
      </c>
      <c r="E41" s="30">
        <v>60739.19</v>
      </c>
      <c r="F41" s="15"/>
      <c r="G41" s="15"/>
      <c r="H41" s="33">
        <f t="shared" si="2"/>
        <v>874095.44000000064</v>
      </c>
      <c r="I41" s="8" t="s">
        <v>10</v>
      </c>
    </row>
    <row r="42" spans="2:9" ht="15" thickBot="1">
      <c r="B42" s="10">
        <v>46195</v>
      </c>
      <c r="C42" s="15" t="s">
        <v>107</v>
      </c>
      <c r="D42" s="19">
        <v>231.2</v>
      </c>
      <c r="E42" s="30">
        <v>141594.56</v>
      </c>
      <c r="F42" s="15"/>
      <c r="G42" s="15"/>
      <c r="H42" s="33">
        <f t="shared" si="2"/>
        <v>732500.88000000059</v>
      </c>
      <c r="I42" s="8" t="s">
        <v>10</v>
      </c>
    </row>
    <row r="43" spans="2:9" ht="15" thickBot="1">
      <c r="B43" s="10">
        <v>46195</v>
      </c>
      <c r="C43" s="15" t="s">
        <v>31</v>
      </c>
      <c r="D43" s="19">
        <v>0.69</v>
      </c>
      <c r="E43" s="30">
        <v>424.78</v>
      </c>
      <c r="F43" s="15"/>
      <c r="G43" s="15"/>
      <c r="H43" s="33">
        <f t="shared" si="2"/>
        <v>732076.10000000056</v>
      </c>
      <c r="I43" s="8" t="s">
        <v>25</v>
      </c>
    </row>
    <row r="44" spans="2:9" ht="29.5" thickBot="1">
      <c r="B44" s="10">
        <v>46195</v>
      </c>
      <c r="C44" s="64" t="s">
        <v>105</v>
      </c>
      <c r="D44" s="19">
        <v>992.92</v>
      </c>
      <c r="E44" s="30">
        <v>698173.85</v>
      </c>
      <c r="F44" s="15"/>
      <c r="G44" s="15"/>
      <c r="H44" s="33">
        <f t="shared" si="2"/>
        <v>33902.250000000582</v>
      </c>
      <c r="I44" s="8" t="s">
        <v>10</v>
      </c>
    </row>
    <row r="45" spans="2:9" ht="15" thickBot="1">
      <c r="B45" s="10">
        <v>46195</v>
      </c>
      <c r="C45" s="15" t="s">
        <v>31</v>
      </c>
      <c r="D45" s="19">
        <v>2.98</v>
      </c>
      <c r="E45" s="30">
        <v>2094.52</v>
      </c>
      <c r="F45" s="15"/>
      <c r="G45" s="15"/>
      <c r="H45" s="33">
        <f t="shared" si="2"/>
        <v>31807.730000000582</v>
      </c>
      <c r="I45" s="8" t="s">
        <v>25</v>
      </c>
    </row>
    <row r="46" spans="2:9" ht="15" thickBot="1">
      <c r="B46" s="10">
        <v>46195</v>
      </c>
      <c r="C46" s="179" t="s">
        <v>108</v>
      </c>
      <c r="D46" s="19">
        <v>13.25</v>
      </c>
      <c r="E46" s="30">
        <v>9370.18</v>
      </c>
      <c r="F46" s="15"/>
      <c r="G46" s="15"/>
      <c r="H46" s="33">
        <f t="shared" si="2"/>
        <v>22437.550000000581</v>
      </c>
      <c r="I46" s="178"/>
    </row>
    <row r="47" spans="2:9" ht="15" thickBot="1">
      <c r="B47" s="10">
        <v>46195</v>
      </c>
      <c r="C47" s="179" t="s">
        <v>109</v>
      </c>
      <c r="D47" s="19">
        <v>7.54</v>
      </c>
      <c r="E47" s="30">
        <v>5328.14</v>
      </c>
      <c r="F47" s="15"/>
      <c r="G47" s="15"/>
      <c r="H47" s="33">
        <f t="shared" si="2"/>
        <v>17109.410000000582</v>
      </c>
      <c r="I47" s="178" t="s">
        <v>25</v>
      </c>
    </row>
    <row r="48" spans="2:9" ht="15" thickBot="1">
      <c r="B48" s="139">
        <v>46196</v>
      </c>
      <c r="C48" s="140" t="s">
        <v>110</v>
      </c>
      <c r="D48" s="141"/>
      <c r="E48" s="143"/>
      <c r="F48" s="170">
        <v>5868.36</v>
      </c>
      <c r="G48" s="141">
        <v>4148454.74</v>
      </c>
      <c r="H48" s="144">
        <f>H47+G48</f>
        <v>4165564.1500000008</v>
      </c>
      <c r="I48" s="145" t="s">
        <v>10</v>
      </c>
    </row>
    <row r="49" spans="1:9" ht="15" thickBot="1">
      <c r="B49" s="139">
        <v>46196</v>
      </c>
      <c r="C49" s="140" t="s">
        <v>163</v>
      </c>
      <c r="D49" s="141"/>
      <c r="E49" s="143"/>
      <c r="F49" s="140">
        <v>23.37</v>
      </c>
      <c r="G49" s="141">
        <v>12390.87</v>
      </c>
      <c r="H49" s="144">
        <f>H48+G49</f>
        <v>4177955.0200000009</v>
      </c>
      <c r="I49" s="145" t="s">
        <v>13</v>
      </c>
    </row>
    <row r="50" spans="1:9" ht="15" thickBot="1">
      <c r="B50" s="10">
        <v>46196</v>
      </c>
      <c r="C50" s="15" t="s">
        <v>94</v>
      </c>
      <c r="D50" s="180">
        <v>0.26</v>
      </c>
      <c r="E50" s="30">
        <v>185.86</v>
      </c>
      <c r="F50" s="15"/>
      <c r="G50" s="15"/>
      <c r="H50" s="33">
        <f>H49-E50</f>
        <v>4177769.1600000011</v>
      </c>
      <c r="I50" s="8" t="s">
        <v>13</v>
      </c>
    </row>
    <row r="51" spans="1:9" ht="15" thickBot="1">
      <c r="B51" s="139">
        <v>46196</v>
      </c>
      <c r="C51" s="140" t="s">
        <v>125</v>
      </c>
      <c r="D51" s="141"/>
      <c r="E51" s="143"/>
      <c r="F51" s="140">
        <v>17.53</v>
      </c>
      <c r="G51" s="252">
        <v>16521.16</v>
      </c>
      <c r="H51" s="144">
        <f>H50+G51</f>
        <v>4194290.3200000012</v>
      </c>
      <c r="I51" s="145" t="s">
        <v>13</v>
      </c>
    </row>
    <row r="52" spans="1:9" ht="15" thickBot="1">
      <c r="B52" s="10">
        <v>46196</v>
      </c>
      <c r="C52" s="15" t="s">
        <v>94</v>
      </c>
      <c r="D52" s="19">
        <v>0.35</v>
      </c>
      <c r="E52" s="30">
        <v>247.81</v>
      </c>
      <c r="F52" s="15"/>
      <c r="G52" s="15"/>
      <c r="H52" s="33">
        <f>H51-E52</f>
        <v>4194042.5100000012</v>
      </c>
      <c r="I52" s="8" t="s">
        <v>13</v>
      </c>
    </row>
    <row r="53" spans="1:9" ht="29.5" thickBot="1">
      <c r="B53" s="139">
        <v>46196</v>
      </c>
      <c r="C53" s="181" t="s">
        <v>113</v>
      </c>
      <c r="D53" s="142"/>
      <c r="E53" s="140"/>
      <c r="F53" s="141">
        <v>30</v>
      </c>
      <c r="G53" s="143">
        <v>21207.3</v>
      </c>
      <c r="H53" s="144">
        <f>H52+G53</f>
        <v>4215249.8100000015</v>
      </c>
      <c r="I53" s="145" t="s">
        <v>10</v>
      </c>
    </row>
    <row r="54" spans="1:9" ht="15" thickBot="1">
      <c r="B54" s="209">
        <v>46196</v>
      </c>
      <c r="C54" s="210" t="s">
        <v>138</v>
      </c>
      <c r="D54" s="215">
        <v>43.57</v>
      </c>
      <c r="E54" s="216">
        <v>30820.17</v>
      </c>
      <c r="F54" s="213"/>
      <c r="G54" s="212"/>
      <c r="H54" s="217">
        <f>H53-E54</f>
        <v>4184429.6400000015</v>
      </c>
      <c r="I54" s="250" t="s">
        <v>25</v>
      </c>
    </row>
    <row r="55" spans="1:9" ht="15" thickBot="1">
      <c r="B55" s="139">
        <v>46197</v>
      </c>
      <c r="C55" s="181" t="s">
        <v>123</v>
      </c>
      <c r="D55" s="141"/>
      <c r="E55" s="143"/>
      <c r="F55" s="140">
        <v>52.89</v>
      </c>
      <c r="G55" s="141">
        <v>37417.589999999997</v>
      </c>
      <c r="H55" s="144">
        <f>H54+G55</f>
        <v>4221847.2300000014</v>
      </c>
      <c r="I55" s="145" t="s">
        <v>13</v>
      </c>
    </row>
    <row r="56" spans="1:9" ht="15" thickBot="1">
      <c r="B56" s="10">
        <v>46197</v>
      </c>
      <c r="C56" s="15" t="s">
        <v>94</v>
      </c>
      <c r="D56" s="19">
        <v>0.79</v>
      </c>
      <c r="E56" s="30">
        <v>561.26</v>
      </c>
      <c r="F56" s="15"/>
      <c r="G56" s="15"/>
      <c r="H56" s="33">
        <f>H55-E56</f>
        <v>4221285.9700000016</v>
      </c>
      <c r="I56" s="203" t="s">
        <v>13</v>
      </c>
    </row>
    <row r="57" spans="1:9" ht="15" thickBot="1">
      <c r="B57" s="139">
        <v>46197</v>
      </c>
      <c r="C57" s="181" t="s">
        <v>124</v>
      </c>
      <c r="D57" s="141"/>
      <c r="E57" s="143"/>
      <c r="F57" s="140">
        <v>35.25</v>
      </c>
      <c r="G57" s="141">
        <v>24940.14</v>
      </c>
      <c r="H57" s="144">
        <f>H56+G57</f>
        <v>4246226.1100000013</v>
      </c>
      <c r="I57" s="145" t="s">
        <v>13</v>
      </c>
    </row>
    <row r="58" spans="1:9" ht="15" thickBot="1">
      <c r="A58" s="253" t="s">
        <v>164</v>
      </c>
      <c r="B58" s="10">
        <v>46197</v>
      </c>
      <c r="C58" s="15" t="s">
        <v>94</v>
      </c>
      <c r="D58" s="19">
        <v>0.53</v>
      </c>
      <c r="E58" s="30">
        <v>374.1</v>
      </c>
      <c r="F58" s="15"/>
      <c r="G58" s="15"/>
      <c r="H58" s="33">
        <f>H57-E58</f>
        <v>4245852.0100000016</v>
      </c>
      <c r="I58" s="203" t="s">
        <v>13</v>
      </c>
    </row>
    <row r="59" spans="1:9" ht="15" thickBot="1">
      <c r="B59" s="10">
        <v>46197</v>
      </c>
      <c r="C59" s="186" t="s">
        <v>126</v>
      </c>
      <c r="D59" s="19">
        <v>439.61</v>
      </c>
      <c r="E59" s="204">
        <v>311000</v>
      </c>
      <c r="F59" s="15"/>
      <c r="G59" s="15"/>
      <c r="H59" s="33">
        <f>H58-E59</f>
        <v>3934852.0100000016</v>
      </c>
      <c r="I59" s="203" t="s">
        <v>10</v>
      </c>
    </row>
    <row r="60" spans="1:9" ht="15" thickBot="1">
      <c r="B60" s="10">
        <v>46197</v>
      </c>
      <c r="C60" s="186" t="s">
        <v>31</v>
      </c>
      <c r="D60" s="19">
        <v>1.32</v>
      </c>
      <c r="E60" s="30">
        <v>933</v>
      </c>
      <c r="F60" s="15"/>
      <c r="G60" s="15"/>
      <c r="H60" s="33">
        <f>H59-E60</f>
        <v>3933919.0100000016</v>
      </c>
      <c r="I60" s="203" t="s">
        <v>25</v>
      </c>
    </row>
    <row r="61" spans="1:9" ht="15" thickBot="1">
      <c r="B61" s="10">
        <v>46197</v>
      </c>
      <c r="C61" s="15" t="s">
        <v>133</v>
      </c>
      <c r="D61" s="19">
        <v>163.06</v>
      </c>
      <c r="E61" s="30">
        <v>115355.97</v>
      </c>
      <c r="F61" s="15"/>
      <c r="G61" s="15"/>
      <c r="H61" s="33">
        <f>H60-E61</f>
        <v>3818563.0400000014</v>
      </c>
      <c r="I61" s="8" t="s">
        <v>13</v>
      </c>
    </row>
    <row r="62" spans="1:9" ht="15" thickBot="1">
      <c r="B62" s="10">
        <v>46197</v>
      </c>
      <c r="C62" s="15" t="s">
        <v>134</v>
      </c>
      <c r="D62" s="19">
        <v>1.28</v>
      </c>
      <c r="E62" s="30">
        <v>907.42</v>
      </c>
      <c r="F62" s="15"/>
      <c r="G62" s="15"/>
      <c r="H62" s="33">
        <f>H61-E62</f>
        <v>3817655.6200000015</v>
      </c>
      <c r="I62" s="8" t="s">
        <v>13</v>
      </c>
    </row>
    <row r="63" spans="1:9" ht="15" thickBot="1">
      <c r="B63" s="139">
        <v>46198</v>
      </c>
      <c r="C63" s="181" t="s">
        <v>136</v>
      </c>
      <c r="D63" s="141"/>
      <c r="E63" s="143"/>
      <c r="F63" s="141">
        <v>14.7</v>
      </c>
      <c r="G63" s="141">
        <v>10397.51</v>
      </c>
      <c r="H63" s="144">
        <f>H62+G63</f>
        <v>3828053.1300000013</v>
      </c>
      <c r="I63" s="145" t="s">
        <v>13</v>
      </c>
    </row>
    <row r="64" spans="1:9" ht="15" thickBot="1">
      <c r="B64" s="10">
        <v>46199</v>
      </c>
      <c r="C64" s="207" t="s">
        <v>94</v>
      </c>
      <c r="D64" s="19">
        <v>0.22</v>
      </c>
      <c r="E64" s="30">
        <v>155.96</v>
      </c>
      <c r="F64" s="15"/>
      <c r="G64" s="15"/>
      <c r="H64" s="33">
        <f>H63-E64</f>
        <v>3827897.1700000013</v>
      </c>
      <c r="I64" s="208" t="s">
        <v>13</v>
      </c>
    </row>
    <row r="65" spans="2:9" ht="15" thickBot="1">
      <c r="B65" s="139">
        <v>46198</v>
      </c>
      <c r="C65" s="181" t="s">
        <v>135</v>
      </c>
      <c r="D65" s="141"/>
      <c r="E65" s="143"/>
      <c r="F65" s="140">
        <v>47.03</v>
      </c>
      <c r="G65" s="141">
        <v>33272.400000000001</v>
      </c>
      <c r="H65" s="144">
        <f>H64+G65</f>
        <v>3861169.5700000012</v>
      </c>
      <c r="I65" s="145" t="s">
        <v>13</v>
      </c>
    </row>
    <row r="66" spans="2:9" ht="15" thickBot="1">
      <c r="B66" s="10">
        <v>46198</v>
      </c>
      <c r="C66" s="207" t="s">
        <v>94</v>
      </c>
      <c r="D66" s="19">
        <v>0.71</v>
      </c>
      <c r="E66" s="30">
        <v>499.08</v>
      </c>
      <c r="F66" s="15"/>
      <c r="G66" s="15"/>
      <c r="H66" s="33">
        <f t="shared" ref="H66:H71" si="3">H65-E66</f>
        <v>3860670.4900000012</v>
      </c>
      <c r="I66" s="208" t="s">
        <v>13</v>
      </c>
    </row>
    <row r="67" spans="2:9" ht="15" thickBot="1">
      <c r="B67" s="10">
        <v>46198</v>
      </c>
      <c r="C67" s="207" t="s">
        <v>137</v>
      </c>
      <c r="D67" s="19">
        <v>439.61</v>
      </c>
      <c r="E67" s="30">
        <v>311000</v>
      </c>
      <c r="F67" s="15"/>
      <c r="G67" s="15"/>
      <c r="H67" s="33">
        <f t="shared" si="3"/>
        <v>3549670.4900000012</v>
      </c>
      <c r="I67" s="8" t="s">
        <v>10</v>
      </c>
    </row>
    <row r="68" spans="2:9" ht="15" thickBot="1">
      <c r="B68" s="10">
        <v>46198</v>
      </c>
      <c r="C68" s="259" t="s">
        <v>165</v>
      </c>
      <c r="D68" s="19">
        <v>135</v>
      </c>
      <c r="E68" s="30">
        <v>95504.1</v>
      </c>
      <c r="F68" s="15"/>
      <c r="G68" s="15"/>
      <c r="H68" s="33">
        <f t="shared" si="3"/>
        <v>3454166.3900000011</v>
      </c>
      <c r="I68" s="8" t="s">
        <v>10</v>
      </c>
    </row>
    <row r="69" spans="2:9" ht="15" thickBot="1">
      <c r="B69" s="10">
        <v>46198</v>
      </c>
      <c r="C69" s="15" t="s">
        <v>31</v>
      </c>
      <c r="D69" s="19">
        <v>0.4</v>
      </c>
      <c r="E69" s="30">
        <v>286.51</v>
      </c>
      <c r="F69" s="15"/>
      <c r="G69" s="15"/>
      <c r="H69" s="33">
        <f t="shared" si="3"/>
        <v>3453879.8800000013</v>
      </c>
      <c r="I69" s="8" t="s">
        <v>25</v>
      </c>
    </row>
    <row r="70" spans="2:9" ht="15" thickBot="1">
      <c r="B70" s="10">
        <v>46198</v>
      </c>
      <c r="C70" s="259" t="s">
        <v>166</v>
      </c>
      <c r="D70" s="19">
        <v>131.79</v>
      </c>
      <c r="E70" s="30">
        <v>93230</v>
      </c>
      <c r="F70" s="15"/>
      <c r="G70" s="15"/>
      <c r="H70" s="33">
        <f t="shared" si="3"/>
        <v>3360649.8800000013</v>
      </c>
      <c r="I70" s="8" t="s">
        <v>10</v>
      </c>
    </row>
    <row r="71" spans="2:9" ht="15" thickBot="1">
      <c r="B71" s="10">
        <v>46198</v>
      </c>
      <c r="C71" s="15" t="s">
        <v>31</v>
      </c>
      <c r="D71" s="19">
        <v>0.4</v>
      </c>
      <c r="E71" s="30">
        <v>279.69</v>
      </c>
      <c r="F71" s="15"/>
      <c r="G71" s="15"/>
      <c r="H71" s="33">
        <f t="shared" si="3"/>
        <v>3360370.1900000013</v>
      </c>
      <c r="I71" s="8" t="s">
        <v>25</v>
      </c>
    </row>
    <row r="72" spans="2:9" ht="15" thickBot="1">
      <c r="B72" s="139">
        <v>46199</v>
      </c>
      <c r="C72" s="140" t="s">
        <v>141</v>
      </c>
      <c r="D72" s="142"/>
      <c r="E72" s="140"/>
      <c r="F72" s="141">
        <v>5.87</v>
      </c>
      <c r="G72" s="143">
        <v>4157.82</v>
      </c>
      <c r="H72" s="144">
        <f>H71+G72</f>
        <v>3364528.0100000012</v>
      </c>
      <c r="I72" s="145" t="s">
        <v>13</v>
      </c>
    </row>
    <row r="73" spans="2:9" ht="15" thickBot="1">
      <c r="B73" s="10">
        <v>46199</v>
      </c>
      <c r="C73" s="218" t="s">
        <v>94</v>
      </c>
      <c r="D73" s="19">
        <v>0.09</v>
      </c>
      <c r="E73" s="30">
        <v>62.36</v>
      </c>
      <c r="F73" s="15"/>
      <c r="G73" s="15"/>
      <c r="H73" s="33">
        <f>H72-E73</f>
        <v>3364465.6500000013</v>
      </c>
      <c r="I73" s="219" t="s">
        <v>13</v>
      </c>
    </row>
    <row r="74" spans="2:9" ht="15" thickBot="1">
      <c r="B74" s="10">
        <v>46199</v>
      </c>
      <c r="C74" s="218" t="s">
        <v>140</v>
      </c>
      <c r="D74" s="19">
        <v>15.35</v>
      </c>
      <c r="E74" s="30">
        <v>10875</v>
      </c>
      <c r="F74" s="15"/>
      <c r="G74" s="15"/>
      <c r="H74" s="33">
        <f>H73-E74</f>
        <v>3353590.6500000013</v>
      </c>
      <c r="I74" s="219" t="s">
        <v>10</v>
      </c>
    </row>
    <row r="75" spans="2:9" ht="15" thickBot="1">
      <c r="B75" s="10">
        <v>46199</v>
      </c>
      <c r="C75" s="218" t="s">
        <v>31</v>
      </c>
      <c r="D75" s="19">
        <v>0.05</v>
      </c>
      <c r="E75" s="30">
        <v>32.619999999999997</v>
      </c>
      <c r="F75" s="15"/>
      <c r="G75" s="15"/>
      <c r="H75" s="33">
        <f>H74-E75</f>
        <v>3353558.0300000012</v>
      </c>
      <c r="I75" s="219" t="s">
        <v>25</v>
      </c>
    </row>
    <row r="76" spans="2:9" ht="15" thickBot="1">
      <c r="B76" s="10">
        <v>46199</v>
      </c>
      <c r="C76" s="15" t="s">
        <v>142</v>
      </c>
      <c r="D76" s="19">
        <v>87.83</v>
      </c>
      <c r="E76" s="30">
        <v>62221.35</v>
      </c>
      <c r="F76" s="15"/>
      <c r="G76" s="15"/>
      <c r="H76" s="33">
        <f>H75-E76</f>
        <v>3291336.6800000011</v>
      </c>
      <c r="I76" s="8" t="s">
        <v>143</v>
      </c>
    </row>
    <row r="77" spans="2:9" ht="15" thickBot="1">
      <c r="B77" s="10">
        <v>46199</v>
      </c>
      <c r="C77" s="15" t="s">
        <v>31</v>
      </c>
      <c r="D77" s="19">
        <v>0.26</v>
      </c>
      <c r="E77" s="30">
        <v>186.66</v>
      </c>
      <c r="F77" s="15"/>
      <c r="G77" s="15"/>
      <c r="H77" s="33">
        <f>H76-E77</f>
        <v>3291150.0200000009</v>
      </c>
      <c r="I77" s="8" t="s">
        <v>25</v>
      </c>
    </row>
    <row r="78" spans="2:9" ht="15" thickBot="1">
      <c r="B78" s="139">
        <v>46200</v>
      </c>
      <c r="C78" s="140" t="s">
        <v>167</v>
      </c>
      <c r="D78" s="141"/>
      <c r="E78" s="143"/>
      <c r="F78" s="140">
        <v>5.72</v>
      </c>
      <c r="G78" s="141">
        <v>4165.34</v>
      </c>
      <c r="H78" s="144">
        <f>H77+G78</f>
        <v>3295315.3600000008</v>
      </c>
      <c r="I78" s="145"/>
    </row>
    <row r="79" spans="2:9" ht="15" thickBot="1">
      <c r="B79" s="10">
        <v>46200</v>
      </c>
      <c r="C79" s="220" t="s">
        <v>94</v>
      </c>
      <c r="D79" s="19">
        <v>0.09</v>
      </c>
      <c r="E79" s="30">
        <v>62.48</v>
      </c>
      <c r="F79" s="15"/>
      <c r="G79" s="15"/>
      <c r="H79" s="33">
        <f>H78-E79</f>
        <v>3295252.8800000008</v>
      </c>
      <c r="I79" s="221" t="s">
        <v>13</v>
      </c>
    </row>
    <row r="80" spans="2:9" ht="15" thickBot="1">
      <c r="B80" s="139">
        <v>46200</v>
      </c>
      <c r="C80" s="140" t="s">
        <v>144</v>
      </c>
      <c r="D80" s="141"/>
      <c r="E80" s="143"/>
      <c r="F80" s="140">
        <v>17.59</v>
      </c>
      <c r="G80" s="141">
        <v>12493.06</v>
      </c>
      <c r="H80" s="144">
        <f>H79+G80</f>
        <v>3307745.9400000009</v>
      </c>
      <c r="I80" s="145" t="s">
        <v>13</v>
      </c>
    </row>
    <row r="81" spans="2:9" ht="15" thickBot="1">
      <c r="B81" s="10">
        <v>46200</v>
      </c>
      <c r="C81" s="220" t="s">
        <v>94</v>
      </c>
      <c r="D81" s="19">
        <v>0.26</v>
      </c>
      <c r="E81" s="30">
        <v>187.39</v>
      </c>
      <c r="F81" s="15"/>
      <c r="G81" s="15"/>
      <c r="H81" s="33">
        <f>H80-E81</f>
        <v>3307558.5500000007</v>
      </c>
      <c r="I81" s="221" t="s">
        <v>13</v>
      </c>
    </row>
    <row r="82" spans="2:9" ht="15" thickBot="1">
      <c r="B82" s="139">
        <v>46201</v>
      </c>
      <c r="C82" s="140" t="s">
        <v>146</v>
      </c>
      <c r="D82" s="141"/>
      <c r="E82" s="143"/>
      <c r="F82" s="140">
        <v>5.7</v>
      </c>
      <c r="G82" s="141">
        <v>4044.46</v>
      </c>
      <c r="H82" s="144">
        <f>H81+G82</f>
        <v>3311603.0100000007</v>
      </c>
      <c r="I82" s="145" t="s">
        <v>13</v>
      </c>
    </row>
    <row r="83" spans="2:9" ht="15" thickBot="1">
      <c r="B83" s="222" t="s">
        <v>147</v>
      </c>
      <c r="C83" s="220" t="s">
        <v>94</v>
      </c>
      <c r="D83" s="19">
        <v>0.09</v>
      </c>
      <c r="E83" s="30">
        <v>60.66</v>
      </c>
      <c r="F83" s="15"/>
      <c r="G83" s="15"/>
      <c r="H83" s="33">
        <f>H82-E83</f>
        <v>3311542.3500000006</v>
      </c>
      <c r="I83" s="221" t="s">
        <v>13</v>
      </c>
    </row>
    <row r="84" spans="2:9" ht="15" thickBot="1">
      <c r="B84" s="139">
        <v>46201</v>
      </c>
      <c r="C84" s="140" t="s">
        <v>145</v>
      </c>
      <c r="D84" s="141"/>
      <c r="E84" s="143"/>
      <c r="F84" s="140">
        <v>17.61</v>
      </c>
      <c r="G84" s="141">
        <v>12506.51</v>
      </c>
      <c r="H84" s="144">
        <f>H83+G84</f>
        <v>3324048.8600000003</v>
      </c>
      <c r="I84" s="145" t="s">
        <v>13</v>
      </c>
    </row>
    <row r="85" spans="2:9" ht="15" thickBot="1">
      <c r="B85" s="10">
        <v>46201</v>
      </c>
      <c r="C85" s="220" t="s">
        <v>94</v>
      </c>
      <c r="D85" s="19">
        <v>0.26</v>
      </c>
      <c r="E85" s="30">
        <v>187.59</v>
      </c>
      <c r="F85" s="15"/>
      <c r="G85" s="15"/>
      <c r="H85" s="33">
        <f>H84-E85</f>
        <v>3323861.2700000005</v>
      </c>
      <c r="I85" s="221" t="s">
        <v>13</v>
      </c>
    </row>
    <row r="86" spans="2:9" ht="15" thickBot="1">
      <c r="B86" s="139">
        <v>46202</v>
      </c>
      <c r="C86" s="140" t="s">
        <v>148</v>
      </c>
      <c r="D86" s="141"/>
      <c r="E86" s="143"/>
      <c r="F86" s="140">
        <v>5.88</v>
      </c>
      <c r="G86" s="141">
        <v>4174.8</v>
      </c>
      <c r="H86" s="144">
        <f>H85+G86</f>
        <v>3328036.0700000003</v>
      </c>
      <c r="I86" s="145" t="s">
        <v>13</v>
      </c>
    </row>
    <row r="87" spans="2:9" ht="15" thickBot="1">
      <c r="B87" s="10">
        <v>46202</v>
      </c>
      <c r="C87" s="220" t="s">
        <v>94</v>
      </c>
      <c r="D87" s="19">
        <v>0.09</v>
      </c>
      <c r="E87" s="30">
        <v>62.62</v>
      </c>
      <c r="F87" s="15"/>
      <c r="G87" s="15"/>
      <c r="H87" s="33">
        <f t="shared" ref="H87:H92" si="4">H86-E87</f>
        <v>3327973.45</v>
      </c>
      <c r="I87" s="221" t="s">
        <v>13</v>
      </c>
    </row>
    <row r="88" spans="2:9" ht="15" thickBot="1">
      <c r="B88" s="10">
        <v>46202</v>
      </c>
      <c r="C88" s="220" t="s">
        <v>149</v>
      </c>
      <c r="D88" s="19">
        <v>1.75</v>
      </c>
      <c r="E88" s="30">
        <v>1246</v>
      </c>
      <c r="F88" s="15"/>
      <c r="G88" s="15"/>
      <c r="H88" s="33">
        <f t="shared" si="4"/>
        <v>3326727.45</v>
      </c>
      <c r="I88" s="221" t="s">
        <v>13</v>
      </c>
    </row>
    <row r="89" spans="2:9" ht="15" thickBot="1">
      <c r="B89" s="10">
        <v>46202</v>
      </c>
      <c r="C89" s="220" t="s">
        <v>150</v>
      </c>
      <c r="D89" s="19">
        <v>20.329999999999998</v>
      </c>
      <c r="E89" s="30">
        <v>14435.27</v>
      </c>
      <c r="F89" s="15"/>
      <c r="G89" s="15"/>
      <c r="H89" s="33">
        <f t="shared" si="4"/>
        <v>3312292.18</v>
      </c>
      <c r="I89" s="221" t="s">
        <v>10</v>
      </c>
    </row>
    <row r="90" spans="2:9" ht="15" thickBot="1">
      <c r="B90" s="10">
        <v>46202</v>
      </c>
      <c r="C90" s="220" t="s">
        <v>31</v>
      </c>
      <c r="D90" s="19">
        <v>0.06</v>
      </c>
      <c r="E90" s="30">
        <v>43.3</v>
      </c>
      <c r="F90" s="15"/>
      <c r="G90" s="15"/>
      <c r="H90" s="33">
        <f t="shared" si="4"/>
        <v>3312248.8800000004</v>
      </c>
      <c r="I90" s="221" t="s">
        <v>25</v>
      </c>
    </row>
    <row r="91" spans="2:9" ht="15" thickBot="1">
      <c r="B91" s="10">
        <v>46202</v>
      </c>
      <c r="C91" s="15" t="s">
        <v>151</v>
      </c>
      <c r="D91" s="19">
        <v>28.47</v>
      </c>
      <c r="E91" s="30">
        <v>20216.560000000001</v>
      </c>
      <c r="F91" s="15"/>
      <c r="G91" s="15"/>
      <c r="H91" s="33">
        <f t="shared" si="4"/>
        <v>3292032.3200000003</v>
      </c>
      <c r="I91" s="8" t="s">
        <v>10</v>
      </c>
    </row>
    <row r="92" spans="2:9" ht="15" thickBot="1">
      <c r="B92" s="10">
        <v>46202</v>
      </c>
      <c r="C92" s="15" t="s">
        <v>31</v>
      </c>
      <c r="D92" s="19">
        <v>0.09</v>
      </c>
      <c r="E92" s="30">
        <v>60.64</v>
      </c>
      <c r="F92" s="15"/>
      <c r="G92" s="15"/>
      <c r="H92" s="33">
        <f t="shared" si="4"/>
        <v>3291971.68</v>
      </c>
      <c r="I92" s="223" t="s">
        <v>25</v>
      </c>
    </row>
    <row r="93" spans="2:9" ht="29.5" thickBot="1">
      <c r="B93" s="139">
        <v>46202</v>
      </c>
      <c r="C93" s="181" t="s">
        <v>152</v>
      </c>
      <c r="D93" s="141"/>
      <c r="E93" s="143"/>
      <c r="F93" s="141">
        <v>7.01</v>
      </c>
      <c r="G93" s="141">
        <v>49787.7</v>
      </c>
      <c r="H93" s="144">
        <f>H92+G93</f>
        <v>3341759.3800000004</v>
      </c>
      <c r="I93" s="145" t="s">
        <v>10</v>
      </c>
    </row>
    <row r="94" spans="2:9" ht="15" thickBot="1">
      <c r="B94" s="139">
        <v>46203</v>
      </c>
      <c r="C94" s="140" t="s">
        <v>153</v>
      </c>
      <c r="D94" s="141"/>
      <c r="E94" s="143"/>
      <c r="F94" s="141">
        <v>20.58</v>
      </c>
      <c r="G94" s="141">
        <v>14613.11</v>
      </c>
      <c r="H94" s="144">
        <f>H93+G94</f>
        <v>3356372.49</v>
      </c>
      <c r="I94" s="145" t="s">
        <v>13</v>
      </c>
    </row>
    <row r="95" spans="2:9" ht="15" thickBot="1">
      <c r="B95" s="10">
        <v>46203</v>
      </c>
      <c r="C95" s="224" t="s">
        <v>94</v>
      </c>
      <c r="D95" s="19">
        <v>0.31</v>
      </c>
      <c r="E95" s="30">
        <v>219.19</v>
      </c>
      <c r="F95" s="15"/>
      <c r="G95" s="15"/>
      <c r="H95" s="33">
        <f>H94-E95</f>
        <v>3356153.3000000003</v>
      </c>
      <c r="I95" s="223" t="s">
        <v>13</v>
      </c>
    </row>
    <row r="96" spans="2:9" ht="15" thickBot="1">
      <c r="B96" s="139">
        <v>46203</v>
      </c>
      <c r="C96" s="140" t="s">
        <v>154</v>
      </c>
      <c r="D96" s="141"/>
      <c r="E96" s="143"/>
      <c r="F96" s="140">
        <v>11.76</v>
      </c>
      <c r="G96" s="141">
        <v>8350.68</v>
      </c>
      <c r="H96" s="144">
        <f>H95+G96</f>
        <v>3364503.9800000004</v>
      </c>
      <c r="I96" s="145" t="s">
        <v>13</v>
      </c>
    </row>
    <row r="97" spans="2:9" ht="15" thickBot="1">
      <c r="B97" s="10">
        <v>46203</v>
      </c>
      <c r="C97" s="224" t="s">
        <v>94</v>
      </c>
      <c r="D97" s="19">
        <v>0.18</v>
      </c>
      <c r="E97" s="30">
        <v>125.26</v>
      </c>
      <c r="F97" s="15"/>
      <c r="G97" s="15"/>
      <c r="H97" s="33">
        <f t="shared" ref="H97:H110" si="5">H96-E97</f>
        <v>3364378.7200000007</v>
      </c>
      <c r="I97" s="223" t="s">
        <v>13</v>
      </c>
    </row>
    <row r="98" spans="2:9" ht="15" thickBot="1">
      <c r="B98" s="10">
        <v>46203</v>
      </c>
      <c r="C98" s="224" t="s">
        <v>159</v>
      </c>
      <c r="D98" s="19">
        <v>1235.22</v>
      </c>
      <c r="E98" s="30">
        <v>877133.86</v>
      </c>
      <c r="F98" s="15"/>
      <c r="G98" s="15"/>
      <c r="H98" s="33">
        <f t="shared" si="5"/>
        <v>2487244.8600000008</v>
      </c>
      <c r="I98" s="223" t="s">
        <v>10</v>
      </c>
    </row>
    <row r="99" spans="2:9" ht="15" thickBot="1">
      <c r="B99" s="10">
        <v>46203</v>
      </c>
      <c r="C99" s="224" t="s">
        <v>31</v>
      </c>
      <c r="D99" s="19">
        <v>3.71</v>
      </c>
      <c r="E99" s="30">
        <v>2631.4</v>
      </c>
      <c r="F99" s="15"/>
      <c r="G99" s="15"/>
      <c r="H99" s="33">
        <f t="shared" si="5"/>
        <v>2484613.4600000009</v>
      </c>
      <c r="I99" s="223" t="s">
        <v>25</v>
      </c>
    </row>
    <row r="100" spans="2:9" ht="15" thickBot="1">
      <c r="B100" s="10">
        <v>46203</v>
      </c>
      <c r="C100" s="224" t="s">
        <v>160</v>
      </c>
      <c r="D100" s="19">
        <v>1235.22</v>
      </c>
      <c r="E100" s="30">
        <v>877133.86</v>
      </c>
      <c r="F100" s="15"/>
      <c r="G100" s="15"/>
      <c r="H100" s="33">
        <f t="shared" si="5"/>
        <v>1607479.600000001</v>
      </c>
      <c r="I100" s="223" t="s">
        <v>10</v>
      </c>
    </row>
    <row r="101" spans="2:9" ht="15" thickBot="1">
      <c r="B101" s="10">
        <v>46203</v>
      </c>
      <c r="C101" s="224" t="s">
        <v>31</v>
      </c>
      <c r="D101" s="19">
        <v>3.71</v>
      </c>
      <c r="E101" s="30">
        <v>2631.4</v>
      </c>
      <c r="F101" s="15"/>
      <c r="G101" s="15"/>
      <c r="H101" s="33">
        <f t="shared" si="5"/>
        <v>1604848.2000000011</v>
      </c>
      <c r="I101" s="223" t="s">
        <v>25</v>
      </c>
    </row>
    <row r="102" spans="2:9" ht="15" thickBot="1">
      <c r="B102" s="10">
        <v>46203</v>
      </c>
      <c r="C102" s="224" t="s">
        <v>156</v>
      </c>
      <c r="D102" s="19">
        <v>2.4500000000000002</v>
      </c>
      <c r="E102" s="30">
        <v>1736.86</v>
      </c>
      <c r="F102" s="15"/>
      <c r="G102" s="15"/>
      <c r="H102" s="33">
        <f t="shared" si="5"/>
        <v>1603111.340000001</v>
      </c>
      <c r="I102" s="223" t="s">
        <v>10</v>
      </c>
    </row>
    <row r="103" spans="2:9" ht="15" thickBot="1">
      <c r="B103" s="10">
        <v>46203</v>
      </c>
      <c r="C103" s="224" t="s">
        <v>155</v>
      </c>
      <c r="D103" s="19">
        <v>33.42</v>
      </c>
      <c r="E103" s="30">
        <v>23732.85</v>
      </c>
      <c r="F103" s="15"/>
      <c r="G103" s="15"/>
      <c r="H103" s="33">
        <f t="shared" si="5"/>
        <v>1579378.4900000009</v>
      </c>
      <c r="I103" s="223" t="s">
        <v>10</v>
      </c>
    </row>
    <row r="104" spans="2:9" ht="15" thickBot="1">
      <c r="B104" s="10">
        <v>46203</v>
      </c>
      <c r="C104" s="224" t="s">
        <v>157</v>
      </c>
      <c r="D104" s="19">
        <v>1430</v>
      </c>
      <c r="E104" s="30">
        <v>1015446.04</v>
      </c>
      <c r="F104" s="15"/>
      <c r="G104" s="15"/>
      <c r="H104" s="33">
        <f t="shared" si="5"/>
        <v>563932.45000000088</v>
      </c>
      <c r="I104" s="223" t="s">
        <v>10</v>
      </c>
    </row>
    <row r="105" spans="2:9" ht="15" thickBot="1">
      <c r="B105" s="10">
        <v>46203</v>
      </c>
      <c r="C105" s="224" t="s">
        <v>31</v>
      </c>
      <c r="D105" s="19">
        <v>4.29</v>
      </c>
      <c r="E105" s="204">
        <v>3046.33</v>
      </c>
      <c r="F105" s="15"/>
      <c r="G105" s="15"/>
      <c r="H105" s="33">
        <f t="shared" si="5"/>
        <v>560886.12000000093</v>
      </c>
      <c r="I105" s="223" t="s">
        <v>25</v>
      </c>
    </row>
    <row r="106" spans="2:9" ht="15" thickBot="1">
      <c r="B106" s="10">
        <v>46203</v>
      </c>
      <c r="C106" s="224" t="s">
        <v>158</v>
      </c>
      <c r="D106" s="19">
        <v>105.28</v>
      </c>
      <c r="E106" s="30">
        <v>74762.679999999993</v>
      </c>
      <c r="F106" s="15"/>
      <c r="G106" s="15"/>
      <c r="H106" s="33">
        <f t="shared" si="5"/>
        <v>486123.44000000093</v>
      </c>
      <c r="I106" s="223" t="s">
        <v>10</v>
      </c>
    </row>
    <row r="107" spans="2:9" ht="15" thickBot="1">
      <c r="B107" s="10">
        <v>46203</v>
      </c>
      <c r="C107" s="224" t="s">
        <v>31</v>
      </c>
      <c r="D107" s="19">
        <v>0.32</v>
      </c>
      <c r="E107" s="30">
        <v>224.28</v>
      </c>
      <c r="F107" s="15"/>
      <c r="G107" s="15"/>
      <c r="H107" s="20">
        <f t="shared" si="5"/>
        <v>485899.16000000091</v>
      </c>
      <c r="I107" s="223" t="s">
        <v>25</v>
      </c>
    </row>
    <row r="108" spans="2:9" ht="15" thickBot="1">
      <c r="B108" s="10">
        <v>46203</v>
      </c>
      <c r="C108" s="251" t="s">
        <v>72</v>
      </c>
      <c r="D108" s="19">
        <v>0</v>
      </c>
      <c r="E108" s="30">
        <v>0.1</v>
      </c>
      <c r="F108" s="15"/>
      <c r="G108" s="15"/>
      <c r="H108" s="20">
        <f t="shared" si="5"/>
        <v>485899.06000000093</v>
      </c>
      <c r="I108" s="249" t="s">
        <v>25</v>
      </c>
    </row>
    <row r="109" spans="2:9" ht="15" thickBot="1">
      <c r="B109" s="10">
        <v>46203</v>
      </c>
      <c r="C109" s="251" t="s">
        <v>161</v>
      </c>
      <c r="D109" s="19">
        <v>0</v>
      </c>
      <c r="E109" s="30">
        <v>8</v>
      </c>
      <c r="F109" s="15"/>
      <c r="G109" s="15"/>
      <c r="H109" s="20">
        <f t="shared" si="5"/>
        <v>485891.06000000093</v>
      </c>
      <c r="I109" s="249" t="s">
        <v>25</v>
      </c>
    </row>
    <row r="110" spans="2:9" ht="15" thickBot="1">
      <c r="B110" s="10">
        <v>46203</v>
      </c>
      <c r="C110" s="251" t="s">
        <v>162</v>
      </c>
      <c r="D110" s="19">
        <v>0</v>
      </c>
      <c r="E110" s="30">
        <v>8</v>
      </c>
      <c r="F110" s="15"/>
      <c r="G110" s="15"/>
      <c r="H110" s="20">
        <f t="shared" si="5"/>
        <v>485883.06000000093</v>
      </c>
      <c r="I110" s="249" t="s">
        <v>25</v>
      </c>
    </row>
    <row r="111" spans="2:9" ht="19" thickBot="1">
      <c r="B111" s="10"/>
      <c r="C111" s="314" t="s">
        <v>95</v>
      </c>
      <c r="D111" s="313">
        <f>D5+D6+D7+D8+D9+D11+D12+D13+D14+D15+D16+D21+D22+D24+D25+D26+D27+D29+D28+D30+D31+D34+D35+D36+D37+D38+D39+D40+D41+D42+D43+D44+D45+D46+D47+D50+D52+D54+D56+D58+D59+D60+D61+D62+D64+D66+D67+D68+D69+D70+D71+D73+D74+D75+D76+D79+D81+D83+D85+D87+D88+D89+D90+D91+D95+D97+D98+D99+D100+D101+D102+D103+D104+D105+D106+D107</f>
        <v>15400.150000000001</v>
      </c>
      <c r="E111" s="229">
        <f>E4+E6+E7+E8+E9+E11+E12+E13+E14+E15+E16+E19+E20+E21+E22+E24+E25+E26+E27+E28+E29+E30+E31+E33+E34+E35+E36+E37+E38+E39+E40+E41+E42+E43+E44+E45+E46+E47+E50+E52+E54+E56+E58+E60+E59+E61+E62+E64+E66+E67+E68+E69+E70+E71+E73+E74+E75+E76+E77+E79+E81+E83+E85+E87+E88+E89+E90+E91+E92+E95+E97+E98+E99+E100+E101+E102+E103++E104+E105+E106+E107+E108+E109+E110</f>
        <v>10722693.589999994</v>
      </c>
      <c r="F111" s="161">
        <f>F10+F17+F18+F23+F32+F48+F49+F51+F53+F55+F57+F63+F72+F78+F80+F82+F84+F86+F93+F94+F96</f>
        <v>16056.090000000004</v>
      </c>
      <c r="G111" s="161">
        <f>G10+G17+G18+G23+G32+G48+G49+G51+G53+G55+G57+G63+G65+G72+G78+G80+G82+G84+G86+G93+G94+G96</f>
        <v>11168005.690000003</v>
      </c>
      <c r="H111" s="230">
        <v>485883.06</v>
      </c>
      <c r="I111" s="8"/>
    </row>
    <row r="122" spans="2:9">
      <c r="B122" s="225"/>
      <c r="C122" s="78"/>
      <c r="D122" s="226"/>
      <c r="E122" s="226"/>
      <c r="F122" s="78"/>
      <c r="G122" s="78"/>
      <c r="H122" s="227"/>
      <c r="I122" s="228"/>
    </row>
    <row r="123" spans="2:9">
      <c r="B123" s="225"/>
      <c r="C123" s="78"/>
      <c r="D123" s="226"/>
      <c r="E123" s="226"/>
      <c r="F123" s="78"/>
      <c r="G123" s="78"/>
      <c r="H123" s="227"/>
      <c r="I123" s="228"/>
    </row>
    <row r="124" spans="2:9">
      <c r="B124" s="225"/>
      <c r="C124" s="78"/>
      <c r="D124" s="226"/>
      <c r="E124" s="226"/>
      <c r="F124" s="78"/>
      <c r="G124" s="78"/>
      <c r="H124" s="227"/>
      <c r="I124" s="228"/>
    </row>
    <row r="125" spans="2:9">
      <c r="B125" s="225"/>
      <c r="C125" s="78"/>
      <c r="D125" s="226"/>
      <c r="E125" s="226"/>
      <c r="F125" s="78"/>
      <c r="G125" s="78"/>
      <c r="H125" s="227"/>
      <c r="I125" s="228"/>
    </row>
    <row r="126" spans="2:9">
      <c r="B126" s="225"/>
      <c r="C126" s="78"/>
      <c r="D126" s="226"/>
      <c r="E126" s="226"/>
      <c r="F126" s="78"/>
      <c r="G126" s="78"/>
      <c r="H126" s="227"/>
      <c r="I126" s="228"/>
    </row>
    <row r="127" spans="2:9">
      <c r="B127" s="225"/>
      <c r="C127" s="78"/>
      <c r="D127" s="226"/>
      <c r="E127" s="226"/>
      <c r="F127" s="78"/>
      <c r="G127" s="78"/>
      <c r="H127" s="227"/>
      <c r="I127" s="228"/>
    </row>
  </sheetData>
  <pageMargins left="0.7" right="0.7" top="0.75" bottom="0.75" header="0.3" footer="0.3"/>
  <pageSetup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opLeftCell="A36" zoomScaleNormal="100" workbookViewId="0">
      <selection activeCell="C48" sqref="C48"/>
    </sheetView>
  </sheetViews>
  <sheetFormatPr baseColWidth="10" defaultColWidth="11" defaultRowHeight="14.5"/>
  <cols>
    <col min="1" max="1" width="0.1796875" customWidth="1"/>
    <col min="2" max="2" width="11.453125" customWidth="1"/>
    <col min="3" max="3" width="47" customWidth="1"/>
    <col min="4" max="4" width="11.26953125" customWidth="1"/>
    <col min="5" max="5" width="14.1796875" customWidth="1"/>
    <col min="6" max="6" width="10.453125" customWidth="1"/>
    <col min="7" max="7" width="14.1796875" customWidth="1"/>
    <col min="8" max="8" width="13.453125" customWidth="1"/>
    <col min="9" max="9" width="16.54296875" customWidth="1"/>
  </cols>
  <sheetData>
    <row r="1" spans="2:21" ht="15" thickBot="1"/>
    <row r="2" spans="2:21" ht="76.5" customHeight="1" thickBot="1">
      <c r="B2" s="1"/>
      <c r="C2" s="2"/>
      <c r="D2" s="2" t="s">
        <v>75</v>
      </c>
      <c r="E2" s="2"/>
      <c r="F2" s="2"/>
      <c r="G2" s="2"/>
      <c r="H2" s="2" t="s">
        <v>401</v>
      </c>
      <c r="I2" s="3"/>
    </row>
    <row r="3" spans="2:21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21" ht="15" thickBot="1">
      <c r="B4" s="10">
        <v>46203</v>
      </c>
      <c r="C4" s="251" t="s">
        <v>162</v>
      </c>
      <c r="D4" s="19">
        <v>0</v>
      </c>
      <c r="E4" s="30">
        <v>8</v>
      </c>
      <c r="F4" s="15"/>
      <c r="G4" s="15"/>
      <c r="H4" s="20">
        <v>485883.06</v>
      </c>
      <c r="I4" s="249" t="s">
        <v>25</v>
      </c>
    </row>
    <row r="5" spans="2:21" ht="15" thickBot="1">
      <c r="B5" s="139">
        <v>46204</v>
      </c>
      <c r="C5" s="140" t="s">
        <v>168</v>
      </c>
      <c r="D5" s="268"/>
      <c r="E5" s="140"/>
      <c r="F5" s="268">
        <v>16.420000000000002</v>
      </c>
      <c r="G5" s="141">
        <v>12270.21</v>
      </c>
      <c r="H5" s="144">
        <f>H4+G5</f>
        <v>498153.27</v>
      </c>
      <c r="I5" s="269" t="s">
        <v>13</v>
      </c>
    </row>
    <row r="6" spans="2:21" ht="15" thickBot="1">
      <c r="B6" s="231">
        <v>46204</v>
      </c>
      <c r="C6" s="270" t="s">
        <v>169</v>
      </c>
      <c r="D6" s="232">
        <v>0.25</v>
      </c>
      <c r="E6" s="24">
        <v>184.05</v>
      </c>
      <c r="F6" s="234"/>
      <c r="G6" s="234"/>
      <c r="H6" s="245">
        <f>H5-E6</f>
        <v>497969.22000000003</v>
      </c>
      <c r="I6" s="267" t="s">
        <v>13</v>
      </c>
    </row>
    <row r="7" spans="2:21" ht="15" thickBot="1">
      <c r="B7" s="271">
        <v>46204</v>
      </c>
      <c r="C7" s="272" t="s">
        <v>170</v>
      </c>
      <c r="D7" s="143"/>
      <c r="E7" s="141"/>
      <c r="F7" s="268">
        <v>27.94</v>
      </c>
      <c r="G7" s="141">
        <v>20878.57</v>
      </c>
      <c r="H7" s="144">
        <f>H6+G7</f>
        <v>518847.79000000004</v>
      </c>
      <c r="I7" s="273" t="s">
        <v>13</v>
      </c>
    </row>
    <row r="8" spans="2:21" ht="15" thickBot="1">
      <c r="B8" s="231">
        <v>46204</v>
      </c>
      <c r="C8" s="274" t="s">
        <v>169</v>
      </c>
      <c r="D8" s="247">
        <v>0.42</v>
      </c>
      <c r="E8" s="247">
        <v>313.17</v>
      </c>
      <c r="F8" s="15"/>
      <c r="H8" s="245">
        <f>H7-E8</f>
        <v>518534.62000000005</v>
      </c>
      <c r="I8" s="267" t="s">
        <v>13</v>
      </c>
    </row>
    <row r="9" spans="2:21" ht="15" thickBot="1">
      <c r="B9" s="231">
        <v>46204</v>
      </c>
      <c r="C9" s="270" t="s">
        <v>31</v>
      </c>
      <c r="D9" s="233">
        <v>1.27</v>
      </c>
      <c r="E9" s="24">
        <v>951</v>
      </c>
      <c r="F9" s="234"/>
      <c r="G9" s="234"/>
      <c r="H9" s="245">
        <f>H8-E9</f>
        <v>517583.62000000005</v>
      </c>
      <c r="I9" s="267" t="s">
        <v>25</v>
      </c>
      <c r="M9" s="260"/>
      <c r="N9" s="261"/>
      <c r="O9" s="262"/>
      <c r="P9" s="262"/>
      <c r="Q9" s="261"/>
      <c r="R9" s="262"/>
      <c r="S9" s="263"/>
      <c r="T9" s="264"/>
      <c r="U9" s="265"/>
    </row>
    <row r="10" spans="2:21" ht="15" thickBot="1">
      <c r="B10" s="231">
        <v>46204</v>
      </c>
      <c r="C10" s="270" t="s">
        <v>171</v>
      </c>
      <c r="D10" s="24">
        <v>424.18</v>
      </c>
      <c r="E10" s="235">
        <v>317000</v>
      </c>
      <c r="F10" s="234"/>
      <c r="G10" s="234"/>
      <c r="H10" s="245">
        <f>H9-E10</f>
        <v>200583.62000000005</v>
      </c>
      <c r="I10" s="275" t="s">
        <v>10</v>
      </c>
      <c r="M10" s="265"/>
      <c r="N10" s="265"/>
      <c r="O10" s="265"/>
      <c r="P10" s="265"/>
      <c r="Q10" s="265"/>
      <c r="R10" s="265"/>
      <c r="S10" s="265"/>
      <c r="T10" s="265"/>
      <c r="U10" s="265"/>
    </row>
    <row r="11" spans="2:21" ht="15" thickBot="1">
      <c r="B11" s="276">
        <v>46204</v>
      </c>
      <c r="C11" s="266" t="s">
        <v>31</v>
      </c>
      <c r="D11" s="246">
        <v>1.27</v>
      </c>
      <c r="E11" s="277">
        <v>951</v>
      </c>
      <c r="F11" s="237"/>
      <c r="G11" s="238"/>
      <c r="H11" s="245">
        <f>H10-E11</f>
        <v>199632.62000000005</v>
      </c>
      <c r="I11" s="275" t="s">
        <v>25</v>
      </c>
    </row>
    <row r="12" spans="2:21" ht="15" thickBot="1">
      <c r="B12" s="139">
        <v>46205</v>
      </c>
      <c r="C12" s="140" t="s">
        <v>172</v>
      </c>
      <c r="D12" s="141"/>
      <c r="E12" s="141"/>
      <c r="F12" s="141">
        <v>19.5</v>
      </c>
      <c r="G12" s="143">
        <v>14884.9</v>
      </c>
      <c r="H12" s="144">
        <f>H11+G12</f>
        <v>214517.52000000005</v>
      </c>
      <c r="I12" s="145" t="s">
        <v>25</v>
      </c>
    </row>
    <row r="13" spans="2:21" ht="15" thickBot="1">
      <c r="B13" s="139">
        <v>46205</v>
      </c>
      <c r="C13" s="140" t="s">
        <v>173</v>
      </c>
      <c r="D13" s="141"/>
      <c r="E13" s="279"/>
      <c r="F13" s="141">
        <v>15.79</v>
      </c>
      <c r="G13" s="143">
        <v>12049.68</v>
      </c>
      <c r="H13" s="144">
        <f>H12+G13</f>
        <v>226567.20000000004</v>
      </c>
      <c r="I13" s="145" t="s">
        <v>25</v>
      </c>
    </row>
    <row r="14" spans="2:21" ht="15" thickBot="1">
      <c r="B14" s="231">
        <v>46205</v>
      </c>
      <c r="C14" s="278" t="s">
        <v>169</v>
      </c>
      <c r="D14" s="24">
        <v>0.28999999999999998</v>
      </c>
      <c r="E14" s="235">
        <v>223.27</v>
      </c>
      <c r="F14" s="234"/>
      <c r="G14" s="234"/>
      <c r="H14" s="76">
        <f>H13-E14</f>
        <v>226343.93000000005</v>
      </c>
      <c r="I14" s="280" t="s">
        <v>13</v>
      </c>
    </row>
    <row r="15" spans="2:21" ht="15" thickBot="1">
      <c r="B15" s="231">
        <v>46205</v>
      </c>
      <c r="C15" s="278" t="s">
        <v>169</v>
      </c>
      <c r="D15" s="24">
        <v>0.24</v>
      </c>
      <c r="E15" s="235">
        <v>180.74299999999999</v>
      </c>
      <c r="F15" s="234"/>
      <c r="G15" s="234"/>
      <c r="H15" s="76">
        <f>H14-E15</f>
        <v>226163.18700000006</v>
      </c>
      <c r="I15" s="280" t="s">
        <v>13</v>
      </c>
    </row>
    <row r="16" spans="2:21" ht="15" thickBot="1">
      <c r="B16" s="231">
        <v>46205</v>
      </c>
      <c r="C16" s="278" t="s">
        <v>174</v>
      </c>
      <c r="D16" s="24">
        <v>6.76</v>
      </c>
      <c r="E16" s="235">
        <v>5160.53</v>
      </c>
      <c r="F16" s="234"/>
      <c r="G16" s="234"/>
      <c r="H16" s="76">
        <f>H15-E16</f>
        <v>221002.65700000006</v>
      </c>
      <c r="I16" s="280" t="s">
        <v>13</v>
      </c>
    </row>
    <row r="17" spans="2:9" ht="15" thickBot="1">
      <c r="B17" s="139">
        <v>46206</v>
      </c>
      <c r="C17" s="140" t="s">
        <v>175</v>
      </c>
      <c r="D17" s="141"/>
      <c r="E17" s="143"/>
      <c r="F17" s="141">
        <v>16.84</v>
      </c>
      <c r="G17" s="141">
        <v>12850.39</v>
      </c>
      <c r="H17" s="144">
        <f>H16+G17</f>
        <v>233853.04700000008</v>
      </c>
      <c r="I17" s="145" t="s">
        <v>13</v>
      </c>
    </row>
    <row r="18" spans="2:9" ht="15" thickBot="1">
      <c r="B18" s="139">
        <v>46206</v>
      </c>
      <c r="C18" s="140" t="s">
        <v>176</v>
      </c>
      <c r="D18" s="141"/>
      <c r="E18" s="143"/>
      <c r="F18" s="141">
        <v>16.82</v>
      </c>
      <c r="G18" s="141">
        <v>12835.07</v>
      </c>
      <c r="H18" s="144">
        <f>H17+G18</f>
        <v>246688.11700000009</v>
      </c>
      <c r="I18" s="145" t="s">
        <v>13</v>
      </c>
    </row>
    <row r="19" spans="2:9" ht="15" thickBot="1">
      <c r="B19" s="281">
        <v>46206</v>
      </c>
      <c r="C19" s="278" t="s">
        <v>169</v>
      </c>
      <c r="D19" s="237"/>
      <c r="E19" s="244">
        <v>192.75</v>
      </c>
      <c r="F19" s="236"/>
      <c r="G19" s="236"/>
      <c r="H19" s="240">
        <f>H18-E19</f>
        <v>246495.36700000009</v>
      </c>
      <c r="I19" s="280" t="s">
        <v>13</v>
      </c>
    </row>
    <row r="20" spans="2:9" ht="15" thickBot="1">
      <c r="B20" s="281">
        <v>46206</v>
      </c>
      <c r="C20" s="278" t="s">
        <v>169</v>
      </c>
      <c r="D20" s="151"/>
      <c r="E20" s="244">
        <v>192.52</v>
      </c>
      <c r="F20" s="150"/>
      <c r="G20" s="150"/>
      <c r="H20" s="153">
        <f>H19-E20</f>
        <v>246302.8470000001</v>
      </c>
      <c r="I20" s="280" t="s">
        <v>13</v>
      </c>
    </row>
    <row r="21" spans="2:9" ht="15" thickBot="1">
      <c r="B21" s="139">
        <v>46206</v>
      </c>
      <c r="C21" s="140" t="s">
        <v>110</v>
      </c>
      <c r="D21" s="141"/>
      <c r="E21" s="143"/>
      <c r="F21" s="140"/>
      <c r="G21" s="141">
        <v>536381.38</v>
      </c>
      <c r="H21" s="144">
        <f>H20+G21</f>
        <v>782684.22700000007</v>
      </c>
      <c r="I21" s="145" t="s">
        <v>10</v>
      </c>
    </row>
    <row r="22" spans="2:9" ht="15" thickBot="1">
      <c r="B22" s="231">
        <v>46206</v>
      </c>
      <c r="C22" s="278" t="s">
        <v>177</v>
      </c>
      <c r="D22" s="24">
        <v>47.06</v>
      </c>
      <c r="E22" s="235">
        <v>35915</v>
      </c>
      <c r="F22" s="234"/>
      <c r="G22" s="234"/>
      <c r="H22" s="153">
        <f>H21-E22</f>
        <v>746769.22700000007</v>
      </c>
      <c r="I22" s="280" t="s">
        <v>10</v>
      </c>
    </row>
    <row r="23" spans="2:9" ht="15" thickBot="1">
      <c r="B23" s="281">
        <v>46206</v>
      </c>
      <c r="C23" s="278" t="s">
        <v>31</v>
      </c>
      <c r="D23" s="24">
        <v>0.14000000000000001</v>
      </c>
      <c r="E23" s="235">
        <v>107.74</v>
      </c>
      <c r="F23" s="234"/>
      <c r="G23" s="234"/>
      <c r="H23" s="153">
        <f>H22-E23</f>
        <v>746661.48700000008</v>
      </c>
      <c r="I23" s="280" t="s">
        <v>25</v>
      </c>
    </row>
    <row r="24" spans="2:9" ht="15" thickBot="1">
      <c r="B24" s="281">
        <v>46206</v>
      </c>
      <c r="C24" s="278" t="s">
        <v>178</v>
      </c>
      <c r="D24" s="246">
        <v>50.99</v>
      </c>
      <c r="E24" s="244">
        <v>38917</v>
      </c>
      <c r="F24" s="283"/>
      <c r="G24" s="282"/>
      <c r="H24" s="245">
        <f>H23-E24</f>
        <v>707744.48700000008</v>
      </c>
      <c r="I24" s="280" t="s">
        <v>13</v>
      </c>
    </row>
    <row r="25" spans="2:9" ht="29.5" thickBot="1">
      <c r="B25" s="231">
        <v>46206</v>
      </c>
      <c r="C25" s="284" t="s">
        <v>179</v>
      </c>
      <c r="D25" s="24">
        <v>145.44999999999999</v>
      </c>
      <c r="E25" s="235">
        <v>111006</v>
      </c>
      <c r="F25" s="234"/>
      <c r="G25" s="234"/>
      <c r="H25" s="76">
        <f>H24-E25</f>
        <v>596738.48700000008</v>
      </c>
      <c r="I25" s="280" t="s">
        <v>25</v>
      </c>
    </row>
    <row r="26" spans="2:9" ht="15" thickBot="1">
      <c r="B26" s="231">
        <v>46206</v>
      </c>
      <c r="C26" s="278" t="s">
        <v>31</v>
      </c>
      <c r="D26" s="24">
        <v>0.44</v>
      </c>
      <c r="E26" s="235">
        <v>333.01</v>
      </c>
      <c r="F26" s="234"/>
      <c r="G26" s="234"/>
      <c r="H26" s="76">
        <f>H25-E26</f>
        <v>596405.47700000007</v>
      </c>
      <c r="I26" s="280" t="s">
        <v>25</v>
      </c>
    </row>
    <row r="27" spans="2:9" ht="15" thickBot="1">
      <c r="B27" s="139">
        <v>46207</v>
      </c>
      <c r="C27" s="140" t="s">
        <v>180</v>
      </c>
      <c r="D27" s="141"/>
      <c r="E27" s="143"/>
      <c r="F27" s="140">
        <v>14.66</v>
      </c>
      <c r="G27" s="141">
        <v>11188.39</v>
      </c>
      <c r="H27" s="144">
        <f>H26+G27</f>
        <v>607593.86700000009</v>
      </c>
      <c r="I27" s="145" t="s">
        <v>13</v>
      </c>
    </row>
    <row r="28" spans="2:9" ht="15" thickBot="1">
      <c r="B28" s="139">
        <v>46207</v>
      </c>
      <c r="C28" s="140" t="s">
        <v>181</v>
      </c>
      <c r="D28" s="141"/>
      <c r="E28" s="143"/>
      <c r="F28" s="140">
        <v>2.88</v>
      </c>
      <c r="G28" s="141">
        <v>2197.15</v>
      </c>
      <c r="H28" s="144">
        <f>H27+G28</f>
        <v>609791.01700000011</v>
      </c>
      <c r="I28" s="145" t="s">
        <v>13</v>
      </c>
    </row>
    <row r="29" spans="2:9" ht="15" thickBot="1">
      <c r="B29" s="231">
        <v>46207</v>
      </c>
      <c r="C29" s="284" t="s">
        <v>169</v>
      </c>
      <c r="D29" s="24">
        <v>0.22</v>
      </c>
      <c r="E29" s="235">
        <v>167.82</v>
      </c>
      <c r="F29" s="234"/>
      <c r="G29" s="234"/>
      <c r="H29" s="76">
        <f>H28-E29</f>
        <v>609623.19700000016</v>
      </c>
      <c r="I29" s="280" t="s">
        <v>13</v>
      </c>
    </row>
    <row r="30" spans="2:9" ht="15" thickBot="1">
      <c r="B30" s="231">
        <v>46207</v>
      </c>
      <c r="C30" s="284" t="s">
        <v>169</v>
      </c>
      <c r="D30" s="24">
        <v>0.04</v>
      </c>
      <c r="E30" s="235">
        <v>32.950000000000003</v>
      </c>
      <c r="F30" s="234"/>
      <c r="G30" s="234"/>
      <c r="H30" s="76">
        <f>H29-E30</f>
        <v>609590.24700000021</v>
      </c>
      <c r="I30" s="280" t="s">
        <v>13</v>
      </c>
    </row>
    <row r="31" spans="2:9" ht="15" thickBot="1">
      <c r="B31" s="139">
        <v>46208</v>
      </c>
      <c r="C31" s="181" t="s">
        <v>182</v>
      </c>
      <c r="D31" s="141"/>
      <c r="E31" s="143"/>
      <c r="F31" s="140">
        <v>14.7</v>
      </c>
      <c r="G31" s="141">
        <v>11218.9</v>
      </c>
      <c r="H31" s="144">
        <f>H30+G31</f>
        <v>620809.14700000023</v>
      </c>
      <c r="I31" s="145"/>
    </row>
    <row r="32" spans="2:9" ht="15" thickBot="1">
      <c r="B32" s="139">
        <v>46208</v>
      </c>
      <c r="C32" s="181" t="s">
        <v>183</v>
      </c>
      <c r="D32" s="141"/>
      <c r="E32" s="143"/>
      <c r="F32" s="140">
        <v>14.7</v>
      </c>
      <c r="G32" s="141">
        <v>11218.83</v>
      </c>
      <c r="H32" s="144">
        <f>H31+G32</f>
        <v>632027.97700000019</v>
      </c>
      <c r="I32" s="145"/>
    </row>
    <row r="33" spans="2:9" ht="15" thickBot="1">
      <c r="B33" s="281">
        <v>46208</v>
      </c>
      <c r="C33" s="284" t="s">
        <v>169</v>
      </c>
      <c r="D33" s="246">
        <v>0.22</v>
      </c>
      <c r="E33" s="244">
        <v>168.28</v>
      </c>
      <c r="F33" s="236"/>
      <c r="G33" s="236"/>
      <c r="H33" s="245">
        <f>H32-E33</f>
        <v>631859.69700000016</v>
      </c>
      <c r="I33" s="280" t="s">
        <v>13</v>
      </c>
    </row>
    <row r="34" spans="2:9" ht="15" thickBot="1">
      <c r="B34" s="241">
        <v>46208</v>
      </c>
      <c r="C34" s="284" t="s">
        <v>169</v>
      </c>
      <c r="D34" s="246">
        <v>0.22</v>
      </c>
      <c r="E34" s="244">
        <v>168.28</v>
      </c>
      <c r="F34" s="242"/>
      <c r="G34" s="242"/>
      <c r="H34" s="245">
        <f>H33-E34</f>
        <v>631691.41700000013</v>
      </c>
      <c r="I34" s="280" t="s">
        <v>13</v>
      </c>
    </row>
    <row r="35" spans="2:9" ht="15" thickBot="1">
      <c r="B35" s="139">
        <v>46209</v>
      </c>
      <c r="C35" s="181" t="s">
        <v>180</v>
      </c>
      <c r="D35" s="141"/>
      <c r="E35" s="143"/>
      <c r="F35" s="140">
        <v>11.76</v>
      </c>
      <c r="G35" s="141">
        <v>8975.14</v>
      </c>
      <c r="H35" s="144">
        <f>H34+G35</f>
        <v>640666.55700000015</v>
      </c>
      <c r="I35" s="145" t="s">
        <v>13</v>
      </c>
    </row>
    <row r="36" spans="2:9" ht="15" thickBot="1">
      <c r="B36" s="139">
        <v>46209</v>
      </c>
      <c r="C36" s="181" t="s">
        <v>184</v>
      </c>
      <c r="D36" s="141"/>
      <c r="E36" s="143"/>
      <c r="F36" s="140">
        <v>11.75</v>
      </c>
      <c r="G36" s="141">
        <v>8967.6</v>
      </c>
      <c r="H36" s="144">
        <f>H35+G36</f>
        <v>649634.15700000012</v>
      </c>
      <c r="I36" s="145" t="s">
        <v>13</v>
      </c>
    </row>
    <row r="37" spans="2:9" ht="15" thickBot="1">
      <c r="B37" s="231">
        <v>46209</v>
      </c>
      <c r="C37" s="284" t="s">
        <v>169</v>
      </c>
      <c r="D37" s="24">
        <v>0.18</v>
      </c>
      <c r="E37" s="235">
        <v>134.62</v>
      </c>
      <c r="F37" s="234"/>
      <c r="G37" s="234"/>
      <c r="H37" s="76">
        <f>H36-E37</f>
        <v>649499.53700000013</v>
      </c>
      <c r="I37" s="280" t="s">
        <v>13</v>
      </c>
    </row>
    <row r="38" spans="2:9" ht="15" thickBot="1">
      <c r="B38" s="281">
        <v>46209</v>
      </c>
      <c r="C38" s="284" t="s">
        <v>169</v>
      </c>
      <c r="D38" s="24">
        <v>0.18</v>
      </c>
      <c r="E38" s="235">
        <v>134.51</v>
      </c>
      <c r="F38" s="234"/>
      <c r="G38" s="234"/>
      <c r="H38" s="76">
        <f>H37-E38</f>
        <v>649365.02700000012</v>
      </c>
      <c r="I38" s="280" t="s">
        <v>13</v>
      </c>
    </row>
    <row r="39" spans="2:9" ht="29.5" thickBot="1">
      <c r="B39" s="139">
        <v>46209</v>
      </c>
      <c r="C39" s="181" t="s">
        <v>185</v>
      </c>
      <c r="D39" s="141"/>
      <c r="E39" s="143"/>
      <c r="F39" s="141">
        <v>30</v>
      </c>
      <c r="G39" s="141">
        <v>22895.7</v>
      </c>
      <c r="H39" s="144">
        <f>H38+G39</f>
        <v>672260.72700000007</v>
      </c>
      <c r="I39" s="145" t="s">
        <v>10</v>
      </c>
    </row>
    <row r="40" spans="2:9" ht="15" thickBot="1">
      <c r="B40" s="231">
        <v>46209</v>
      </c>
      <c r="C40" s="278" t="s">
        <v>186</v>
      </c>
      <c r="D40" s="24">
        <v>43.7</v>
      </c>
      <c r="E40" s="235">
        <v>33352.5</v>
      </c>
      <c r="F40" s="234"/>
      <c r="G40" s="234"/>
      <c r="H40" s="76">
        <f>H39-E40</f>
        <v>638908.22700000007</v>
      </c>
      <c r="I40" s="280" t="s">
        <v>10</v>
      </c>
    </row>
    <row r="41" spans="2:9" ht="15" thickBot="1">
      <c r="B41" s="231">
        <v>46209</v>
      </c>
      <c r="C41" s="278" t="s">
        <v>31</v>
      </c>
      <c r="D41" s="24">
        <v>0.13</v>
      </c>
      <c r="E41" s="235">
        <v>100.05</v>
      </c>
      <c r="F41" s="234"/>
      <c r="G41" s="234"/>
      <c r="H41" s="76">
        <f>H40-E41</f>
        <v>638808.17700000003</v>
      </c>
      <c r="I41" s="280" t="s">
        <v>25</v>
      </c>
    </row>
    <row r="42" spans="2:9" ht="15" thickBot="1">
      <c r="B42" s="139">
        <v>46209</v>
      </c>
      <c r="C42" s="181" t="s">
        <v>187</v>
      </c>
      <c r="D42" s="142"/>
      <c r="E42" s="140"/>
      <c r="F42" s="141">
        <v>22.96</v>
      </c>
      <c r="G42" s="143">
        <v>17691.623</v>
      </c>
      <c r="H42" s="144">
        <f>H41+G42</f>
        <v>656499.80000000005</v>
      </c>
      <c r="I42" s="145" t="s">
        <v>10</v>
      </c>
    </row>
    <row r="43" spans="2:9" ht="15" thickBot="1">
      <c r="B43" s="139">
        <v>46209</v>
      </c>
      <c r="C43" s="140" t="s">
        <v>110</v>
      </c>
      <c r="D43" s="141"/>
      <c r="E43" s="143"/>
      <c r="F43" s="141">
        <v>2900.6</v>
      </c>
      <c r="G43" s="141">
        <v>2235439.69</v>
      </c>
      <c r="H43" s="144">
        <f>H42+G43</f>
        <v>2891939.49</v>
      </c>
      <c r="I43" s="145" t="s">
        <v>10</v>
      </c>
    </row>
    <row r="44" spans="2:9" ht="15" thickBot="1">
      <c r="B44" s="139">
        <v>46210</v>
      </c>
      <c r="C44" s="140" t="s">
        <v>188</v>
      </c>
      <c r="D44" s="141"/>
      <c r="E44" s="143"/>
      <c r="F44" s="140"/>
      <c r="G44" s="141">
        <v>13459.63</v>
      </c>
      <c r="H44" s="144">
        <f>H43+G44</f>
        <v>2905399.12</v>
      </c>
      <c r="I44" s="145" t="s">
        <v>13</v>
      </c>
    </row>
    <row r="45" spans="2:9" ht="15" thickBot="1">
      <c r="B45" s="139">
        <v>46210</v>
      </c>
      <c r="C45" s="140" t="s">
        <v>189</v>
      </c>
      <c r="D45" s="141"/>
      <c r="E45" s="143"/>
      <c r="F45" s="140"/>
      <c r="G45" s="141">
        <v>8975.15</v>
      </c>
      <c r="H45" s="144">
        <f>H44+G45</f>
        <v>2914374.27</v>
      </c>
      <c r="I45" s="145" t="s">
        <v>13</v>
      </c>
    </row>
    <row r="46" spans="2:9" ht="15" thickBot="1">
      <c r="B46" s="231">
        <v>46210</v>
      </c>
      <c r="C46" s="285" t="s">
        <v>169</v>
      </c>
      <c r="D46" s="24">
        <v>0.26</v>
      </c>
      <c r="E46" s="235">
        <v>201.89</v>
      </c>
      <c r="F46" s="234"/>
      <c r="G46" s="234"/>
      <c r="H46" s="76">
        <f>H45-E46</f>
        <v>2914172.38</v>
      </c>
      <c r="I46" s="286" t="s">
        <v>13</v>
      </c>
    </row>
    <row r="47" spans="2:9" ht="15" thickBot="1">
      <c r="B47" s="231">
        <v>46210</v>
      </c>
      <c r="C47" s="285" t="s">
        <v>169</v>
      </c>
      <c r="D47" s="24">
        <v>0.17</v>
      </c>
      <c r="E47" s="235">
        <v>134.62</v>
      </c>
      <c r="F47" s="234"/>
      <c r="G47" s="234"/>
      <c r="H47" s="245">
        <f>H46-E47</f>
        <v>2914037.7599999998</v>
      </c>
      <c r="I47" s="286" t="s">
        <v>13</v>
      </c>
    </row>
    <row r="48" spans="2:9" ht="15" thickBot="1">
      <c r="B48" s="231">
        <v>46210</v>
      </c>
      <c r="C48" s="298" t="s">
        <v>210</v>
      </c>
      <c r="D48" s="24">
        <v>0.96</v>
      </c>
      <c r="E48" s="235">
        <v>750</v>
      </c>
      <c r="F48" s="234"/>
      <c r="G48" s="234"/>
      <c r="H48" s="76">
        <f>H47-E48</f>
        <v>2913287.76</v>
      </c>
      <c r="I48" s="299" t="s">
        <v>10</v>
      </c>
    </row>
    <row r="49" spans="1:9" s="303" customFormat="1" ht="15" thickBot="1">
      <c r="B49" s="300">
        <v>46210</v>
      </c>
      <c r="C49" s="298" t="s">
        <v>31</v>
      </c>
      <c r="D49" s="301">
        <v>0</v>
      </c>
      <c r="E49" s="244">
        <v>2.25</v>
      </c>
      <c r="F49" s="302"/>
      <c r="G49" s="301"/>
      <c r="H49" s="245">
        <f>H48-E49</f>
        <v>2913285.51</v>
      </c>
      <c r="I49" s="299" t="s">
        <v>25</v>
      </c>
    </row>
    <row r="50" spans="1:9" ht="15" thickBot="1">
      <c r="B50" s="139">
        <v>46211</v>
      </c>
      <c r="C50" s="140" t="s">
        <v>211</v>
      </c>
      <c r="D50" s="141"/>
      <c r="E50" s="143"/>
      <c r="F50" s="140">
        <v>26.01</v>
      </c>
      <c r="G50" s="141">
        <v>20386.29</v>
      </c>
      <c r="H50" s="144">
        <f>H49+G50</f>
        <v>2933671.8</v>
      </c>
      <c r="I50" s="145" t="s">
        <v>13</v>
      </c>
    </row>
    <row r="51" spans="1:9" ht="15" thickBot="1">
      <c r="B51" s="139">
        <v>46211</v>
      </c>
      <c r="C51" s="140" t="s">
        <v>212</v>
      </c>
      <c r="D51" s="141"/>
      <c r="E51" s="143"/>
      <c r="F51" s="140">
        <v>17.350000000000001</v>
      </c>
      <c r="G51" s="141">
        <v>13594.82</v>
      </c>
      <c r="H51" s="144">
        <f>H50+G51</f>
        <v>2947266.6199999996</v>
      </c>
      <c r="I51" s="145" t="s">
        <v>13</v>
      </c>
    </row>
    <row r="52" spans="1:9" ht="15" thickBot="1">
      <c r="B52" s="231">
        <v>46211</v>
      </c>
      <c r="C52" s="298" t="s">
        <v>169</v>
      </c>
      <c r="D52" s="24">
        <v>0.39</v>
      </c>
      <c r="E52" s="235">
        <v>305.79000000000002</v>
      </c>
      <c r="F52" s="234"/>
      <c r="G52" s="234"/>
      <c r="H52" s="76">
        <f>H51-E52</f>
        <v>2946960.8299999996</v>
      </c>
      <c r="I52" s="299" t="s">
        <v>13</v>
      </c>
    </row>
    <row r="53" spans="1:9" ht="15" thickBot="1">
      <c r="B53" s="231">
        <v>46211</v>
      </c>
      <c r="C53" s="298" t="s">
        <v>169</v>
      </c>
      <c r="D53" s="246">
        <v>0.26</v>
      </c>
      <c r="E53" s="235">
        <v>203.92</v>
      </c>
      <c r="F53" s="234"/>
      <c r="G53" s="234"/>
      <c r="H53" s="76">
        <f>H52-E53</f>
        <v>2946756.9099999997</v>
      </c>
      <c r="I53" s="299" t="s">
        <v>13</v>
      </c>
    </row>
    <row r="54" spans="1:9" ht="29.5" thickBot="1">
      <c r="B54" s="139">
        <v>46211</v>
      </c>
      <c r="C54" s="181" t="s">
        <v>213</v>
      </c>
      <c r="D54" s="142"/>
      <c r="E54" s="140"/>
      <c r="F54" s="141">
        <v>30</v>
      </c>
      <c r="G54" s="143">
        <v>23513.1</v>
      </c>
      <c r="H54" s="144">
        <f>H53+G54</f>
        <v>2970270.01</v>
      </c>
      <c r="I54" s="145" t="s">
        <v>10</v>
      </c>
    </row>
    <row r="55" spans="1:9" ht="15" thickBot="1">
      <c r="B55" s="241">
        <v>46211</v>
      </c>
      <c r="C55" s="304" t="s">
        <v>214</v>
      </c>
      <c r="D55" s="247">
        <v>24.09</v>
      </c>
      <c r="E55" s="244">
        <v>18883.93</v>
      </c>
      <c r="F55" s="243"/>
      <c r="G55" s="248"/>
      <c r="H55" s="245">
        <f t="shared" ref="H55:H61" si="0">H54-E55</f>
        <v>2951386.0799999996</v>
      </c>
      <c r="I55" s="299" t="s">
        <v>13</v>
      </c>
    </row>
    <row r="56" spans="1:9" ht="15" thickBot="1">
      <c r="B56" s="300">
        <v>46211</v>
      </c>
      <c r="C56" s="304" t="s">
        <v>215</v>
      </c>
      <c r="D56" s="246">
        <v>4.1900000000000004</v>
      </c>
      <c r="E56" s="244">
        <v>3285.65</v>
      </c>
      <c r="F56" s="236"/>
      <c r="G56" s="237"/>
      <c r="H56" s="245">
        <f t="shared" si="0"/>
        <v>2948100.4299999997</v>
      </c>
      <c r="I56" s="299" t="s">
        <v>13</v>
      </c>
    </row>
    <row r="57" spans="1:9" ht="15" thickBot="1">
      <c r="A57">
        <v>8</v>
      </c>
      <c r="B57" s="300">
        <v>46211</v>
      </c>
      <c r="C57" s="304" t="s">
        <v>216</v>
      </c>
      <c r="D57" s="246">
        <v>64.06</v>
      </c>
      <c r="E57" s="244">
        <v>50210.81</v>
      </c>
      <c r="F57" s="298"/>
      <c r="G57" s="301"/>
      <c r="H57" s="245">
        <f t="shared" si="0"/>
        <v>2897889.6199999996</v>
      </c>
      <c r="I57" s="299" t="s">
        <v>13</v>
      </c>
    </row>
    <row r="58" spans="1:9" ht="15" thickBot="1">
      <c r="B58" s="231">
        <v>46211</v>
      </c>
      <c r="C58" s="298" t="s">
        <v>217</v>
      </c>
      <c r="D58" s="24">
        <v>71.78</v>
      </c>
      <c r="E58" s="235">
        <v>56260</v>
      </c>
      <c r="F58" s="234"/>
      <c r="G58" s="234"/>
      <c r="H58" s="76">
        <f t="shared" si="0"/>
        <v>2841629.6199999996</v>
      </c>
      <c r="I58" s="299" t="s">
        <v>10</v>
      </c>
    </row>
    <row r="59" spans="1:9" ht="15" thickBot="1">
      <c r="B59" s="231">
        <v>46211</v>
      </c>
      <c r="C59" s="298" t="s">
        <v>31</v>
      </c>
      <c r="D59" s="24">
        <v>0.22</v>
      </c>
      <c r="E59" s="235">
        <v>168.78</v>
      </c>
      <c r="F59" s="234"/>
      <c r="G59" s="234"/>
      <c r="H59" s="76">
        <f t="shared" si="0"/>
        <v>2841460.84</v>
      </c>
      <c r="I59" s="299" t="s">
        <v>25</v>
      </c>
    </row>
    <row r="60" spans="1:9" ht="15" thickBot="1">
      <c r="B60" s="231">
        <v>46211</v>
      </c>
      <c r="C60" s="298" t="s">
        <v>218</v>
      </c>
      <c r="D60" s="24">
        <v>35.21</v>
      </c>
      <c r="E60" s="244">
        <v>27595.47</v>
      </c>
      <c r="F60" s="234"/>
      <c r="G60" s="234"/>
      <c r="H60" s="76">
        <f t="shared" si="0"/>
        <v>2813865.3699999996</v>
      </c>
      <c r="I60" s="299" t="s">
        <v>10</v>
      </c>
    </row>
    <row r="61" spans="1:9" ht="15" thickBot="1">
      <c r="B61" s="231">
        <v>46211</v>
      </c>
      <c r="C61" s="298" t="s">
        <v>31</v>
      </c>
      <c r="D61" s="24">
        <v>0.11</v>
      </c>
      <c r="E61" s="235">
        <v>82.78</v>
      </c>
      <c r="F61" s="234"/>
      <c r="G61" s="234"/>
      <c r="H61" s="76">
        <f t="shared" si="0"/>
        <v>2813782.59</v>
      </c>
      <c r="I61" s="299" t="s">
        <v>25</v>
      </c>
    </row>
    <row r="62" spans="1:9" ht="15" thickBot="1">
      <c r="B62" s="231">
        <v>46211</v>
      </c>
      <c r="C62" s="308" t="s">
        <v>223</v>
      </c>
      <c r="D62" s="24">
        <v>42.18</v>
      </c>
      <c r="E62" s="235">
        <v>34228.54</v>
      </c>
      <c r="F62" s="234"/>
      <c r="G62" s="234"/>
      <c r="H62" s="76">
        <f>H61-E62</f>
        <v>2779554.05</v>
      </c>
      <c r="I62" s="299"/>
    </row>
    <row r="63" spans="1:9" ht="15" thickBot="1">
      <c r="B63" s="139">
        <v>46212</v>
      </c>
      <c r="C63" s="140" t="s">
        <v>219</v>
      </c>
      <c r="D63" s="141"/>
      <c r="E63" s="143"/>
      <c r="F63" s="140">
        <v>33.369999999999997</v>
      </c>
      <c r="G63" s="141">
        <v>27079.47</v>
      </c>
      <c r="H63" s="144">
        <f>H62+G63</f>
        <v>2806633.52</v>
      </c>
      <c r="I63" s="145" t="s">
        <v>25</v>
      </c>
    </row>
    <row r="64" spans="1:9" ht="15" thickBot="1">
      <c r="B64" s="139">
        <v>46212</v>
      </c>
      <c r="C64" s="140" t="s">
        <v>188</v>
      </c>
      <c r="D64" s="141"/>
      <c r="E64" s="143"/>
      <c r="F64" s="140">
        <v>13.15</v>
      </c>
      <c r="G64" s="141">
        <v>10671.19</v>
      </c>
      <c r="H64" s="144">
        <f>H63+G64</f>
        <v>2817304.71</v>
      </c>
      <c r="I64" s="145" t="s">
        <v>25</v>
      </c>
    </row>
    <row r="65" spans="2:9" ht="15" thickBot="1">
      <c r="B65" s="305">
        <v>46212</v>
      </c>
      <c r="C65" s="298" t="s">
        <v>169</v>
      </c>
      <c r="D65" s="246">
        <v>0.5</v>
      </c>
      <c r="E65" s="244">
        <v>406.19</v>
      </c>
      <c r="F65" s="236"/>
      <c r="G65" s="237"/>
      <c r="H65" s="245">
        <f>H64-E65</f>
        <v>2816898.52</v>
      </c>
      <c r="I65" s="306" t="s">
        <v>25</v>
      </c>
    </row>
    <row r="66" spans="2:9" ht="15" thickBot="1">
      <c r="B66" s="305">
        <v>46212</v>
      </c>
      <c r="C66" s="298" t="s">
        <v>169</v>
      </c>
      <c r="D66" s="246">
        <v>0.2</v>
      </c>
      <c r="E66" s="244">
        <v>160.06</v>
      </c>
      <c r="F66" s="237"/>
      <c r="G66" s="237"/>
      <c r="H66" s="245">
        <f>H65-E66</f>
        <v>2816738.46</v>
      </c>
      <c r="I66" s="306" t="s">
        <v>25</v>
      </c>
    </row>
    <row r="67" spans="2:9" ht="15" thickBot="1">
      <c r="B67" s="139">
        <v>46213</v>
      </c>
      <c r="C67" s="140" t="s">
        <v>212</v>
      </c>
      <c r="D67" s="141"/>
      <c r="E67" s="143"/>
      <c r="F67" s="140">
        <v>17.05</v>
      </c>
      <c r="G67" s="141">
        <v>13832.04</v>
      </c>
      <c r="H67" s="144">
        <f>H66+G67</f>
        <v>2830570.5</v>
      </c>
      <c r="I67" s="145" t="s">
        <v>25</v>
      </c>
    </row>
    <row r="68" spans="2:9" ht="15" thickBot="1">
      <c r="B68" s="139">
        <v>46213</v>
      </c>
      <c r="C68" s="140" t="s">
        <v>220</v>
      </c>
      <c r="D68" s="141"/>
      <c r="E68" s="143"/>
      <c r="F68" s="140">
        <v>11.06</v>
      </c>
      <c r="G68" s="141">
        <v>9378.1</v>
      </c>
      <c r="H68" s="144">
        <f>H67+G68</f>
        <v>2839948.6</v>
      </c>
      <c r="I68" s="145" t="s">
        <v>25</v>
      </c>
    </row>
    <row r="69" spans="2:9" ht="15" thickBot="1">
      <c r="B69" s="231">
        <v>46213</v>
      </c>
      <c r="C69" s="298" t="s">
        <v>169</v>
      </c>
      <c r="D69" s="24">
        <v>0.26</v>
      </c>
      <c r="E69" s="235">
        <v>207.48</v>
      </c>
      <c r="F69" s="234"/>
      <c r="G69" s="234"/>
      <c r="H69" s="76">
        <f>H68-E69</f>
        <v>2839741.12</v>
      </c>
      <c r="I69" s="306" t="s">
        <v>25</v>
      </c>
    </row>
    <row r="70" spans="2:9" ht="15" thickBot="1">
      <c r="B70" s="231">
        <v>46213</v>
      </c>
      <c r="C70" s="298" t="s">
        <v>169</v>
      </c>
      <c r="D70" s="24">
        <v>0.17</v>
      </c>
      <c r="E70" s="235">
        <v>140.66999999999999</v>
      </c>
      <c r="F70" s="234"/>
      <c r="G70" s="234"/>
      <c r="H70" s="76">
        <f>H69-E70</f>
        <v>2839600.45</v>
      </c>
      <c r="I70" s="306" t="s">
        <v>25</v>
      </c>
    </row>
    <row r="71" spans="2:9" ht="15" thickBot="1">
      <c r="B71" s="231">
        <v>46213</v>
      </c>
      <c r="C71" s="307" t="s">
        <v>221</v>
      </c>
      <c r="D71" s="24">
        <v>3.41</v>
      </c>
      <c r="E71" s="235">
        <v>2765.23</v>
      </c>
      <c r="F71" s="234"/>
      <c r="G71" s="234"/>
      <c r="H71" s="76">
        <f>H70-E71</f>
        <v>2836835.22</v>
      </c>
      <c r="I71" s="306" t="s">
        <v>10</v>
      </c>
    </row>
    <row r="72" spans="2:9" ht="15" thickBot="1">
      <c r="B72" s="139">
        <v>46213</v>
      </c>
      <c r="C72" s="140" t="s">
        <v>110</v>
      </c>
      <c r="D72" s="141"/>
      <c r="E72" s="143"/>
      <c r="F72" s="140">
        <v>910.09</v>
      </c>
      <c r="G72" s="141">
        <v>645886.73</v>
      </c>
      <c r="H72" s="144">
        <f>H71+G72</f>
        <v>3482721.95</v>
      </c>
      <c r="I72" s="145" t="s">
        <v>10</v>
      </c>
    </row>
    <row r="73" spans="2:9" ht="15" thickBot="1">
      <c r="B73" s="231">
        <v>46213</v>
      </c>
      <c r="C73" s="234" t="s">
        <v>222</v>
      </c>
      <c r="D73" s="24">
        <v>218.65</v>
      </c>
      <c r="E73" s="235">
        <v>177423.38</v>
      </c>
      <c r="F73" s="234"/>
      <c r="G73" s="234"/>
      <c r="H73" s="245">
        <f>H72-E73</f>
        <v>3305298.5700000003</v>
      </c>
      <c r="I73" s="311" t="s">
        <v>10</v>
      </c>
    </row>
    <row r="74" spans="2:9" ht="15" thickBot="1">
      <c r="B74" s="309">
        <v>46213</v>
      </c>
      <c r="C74" s="308" t="s">
        <v>31</v>
      </c>
      <c r="D74" s="310">
        <v>0.66</v>
      </c>
      <c r="E74" s="247">
        <v>532.27</v>
      </c>
      <c r="F74" s="237"/>
      <c r="G74" s="238"/>
      <c r="H74" s="245">
        <f>H73-E74</f>
        <v>3304766.3000000003</v>
      </c>
      <c r="I74" s="311" t="s">
        <v>25</v>
      </c>
    </row>
    <row r="75" spans="2:9" ht="15" thickBot="1">
      <c r="B75" s="231">
        <v>46213</v>
      </c>
      <c r="C75" s="234" t="s">
        <v>222</v>
      </c>
      <c r="D75" s="24">
        <v>218.65</v>
      </c>
      <c r="E75" s="235">
        <v>177423.38</v>
      </c>
      <c r="F75" s="234"/>
      <c r="G75" s="234"/>
      <c r="H75" s="76">
        <f>H74-E75</f>
        <v>3127342.9200000004</v>
      </c>
      <c r="I75" s="311" t="s">
        <v>10</v>
      </c>
    </row>
    <row r="76" spans="2:9" ht="15" thickBot="1">
      <c r="B76" s="231">
        <v>46213</v>
      </c>
      <c r="C76" s="308" t="s">
        <v>31</v>
      </c>
      <c r="D76" s="310">
        <v>0.66</v>
      </c>
      <c r="E76" s="24">
        <v>532.27</v>
      </c>
      <c r="F76" s="234"/>
      <c r="G76" s="234"/>
      <c r="H76" s="76">
        <f>H75-E76</f>
        <v>3126810.6500000004</v>
      </c>
      <c r="I76" s="311" t="s">
        <v>25</v>
      </c>
    </row>
    <row r="77" spans="2:9" ht="29.5" thickBot="1">
      <c r="B77" s="231">
        <v>46213</v>
      </c>
      <c r="C77" s="312" t="s">
        <v>224</v>
      </c>
      <c r="D77" s="24">
        <v>54.91</v>
      </c>
      <c r="E77" s="235">
        <v>44559.78</v>
      </c>
      <c r="F77" s="234"/>
      <c r="G77" s="234"/>
      <c r="H77" s="76">
        <f>H76-E77</f>
        <v>3082250.8700000006</v>
      </c>
      <c r="I77" s="311" t="s">
        <v>13</v>
      </c>
    </row>
    <row r="78" spans="2:9" ht="15" thickBot="1">
      <c r="B78" s="139">
        <v>46214</v>
      </c>
      <c r="C78" s="140" t="s">
        <v>219</v>
      </c>
      <c r="D78" s="141"/>
      <c r="E78" s="142"/>
      <c r="F78" s="141">
        <v>8.52</v>
      </c>
      <c r="G78" s="143">
        <v>7020.3</v>
      </c>
      <c r="H78" s="144">
        <f>H77+G78</f>
        <v>3089271.1700000004</v>
      </c>
      <c r="I78" s="145" t="s">
        <v>13</v>
      </c>
    </row>
    <row r="79" spans="2:9" ht="15" thickBot="1">
      <c r="B79" s="139">
        <v>46214</v>
      </c>
      <c r="C79" s="140" t="s">
        <v>225</v>
      </c>
      <c r="D79" s="141"/>
      <c r="E79" s="143"/>
      <c r="F79" s="140">
        <v>5.79</v>
      </c>
      <c r="G79" s="141">
        <v>4771.33</v>
      </c>
      <c r="H79" s="144">
        <f>H78+G79</f>
        <v>3094042.5000000005</v>
      </c>
      <c r="I79" s="145" t="s">
        <v>13</v>
      </c>
    </row>
    <row r="80" spans="2:9" ht="15" thickBot="1">
      <c r="B80" s="82">
        <v>46214</v>
      </c>
      <c r="C80" s="298" t="s">
        <v>169</v>
      </c>
      <c r="D80" s="246">
        <v>0.13</v>
      </c>
      <c r="E80" s="244">
        <v>105.3</v>
      </c>
      <c r="F80" s="236"/>
      <c r="G80" s="237"/>
      <c r="H80" s="245">
        <f>H79-E80</f>
        <v>3093937.2000000007</v>
      </c>
      <c r="I80" s="317" t="s">
        <v>13</v>
      </c>
    </row>
    <row r="81" spans="2:9" ht="15" thickBot="1">
      <c r="B81" s="315">
        <v>46214</v>
      </c>
      <c r="C81" s="298" t="s">
        <v>169</v>
      </c>
      <c r="D81" s="246">
        <v>0.09</v>
      </c>
      <c r="E81" s="244">
        <v>71.56</v>
      </c>
      <c r="F81" s="236"/>
      <c r="G81" s="237"/>
      <c r="H81" s="245">
        <f>H80-E81</f>
        <v>3093865.6400000006</v>
      </c>
      <c r="I81" s="317" t="s">
        <v>13</v>
      </c>
    </row>
    <row r="82" spans="2:9" ht="15" thickBot="1">
      <c r="B82" s="139">
        <v>46215</v>
      </c>
      <c r="C82" s="140" t="s">
        <v>226</v>
      </c>
      <c r="D82" s="141"/>
      <c r="E82" s="143"/>
      <c r="F82" s="140">
        <v>29.32</v>
      </c>
      <c r="G82" s="141">
        <v>24157.93</v>
      </c>
      <c r="H82" s="144">
        <f>H81+G82</f>
        <v>3118023.5700000008</v>
      </c>
      <c r="I82" s="145" t="s">
        <v>13</v>
      </c>
    </row>
    <row r="83" spans="2:9" ht="15" thickBot="1">
      <c r="B83" s="139">
        <v>46215</v>
      </c>
      <c r="C83" s="140" t="s">
        <v>220</v>
      </c>
      <c r="D83" s="141"/>
      <c r="E83" s="143"/>
      <c r="F83" s="140">
        <v>11.72</v>
      </c>
      <c r="G83" s="141">
        <v>9660.18</v>
      </c>
      <c r="H83" s="144">
        <f>H82+G83</f>
        <v>3127683.7500000009</v>
      </c>
      <c r="I83" s="145" t="s">
        <v>13</v>
      </c>
    </row>
    <row r="84" spans="2:9" ht="15" thickBot="1">
      <c r="B84" s="315">
        <v>46215</v>
      </c>
      <c r="C84" s="298" t="s">
        <v>169</v>
      </c>
      <c r="D84" s="246">
        <v>0.18</v>
      </c>
      <c r="E84" s="244">
        <v>144.9</v>
      </c>
      <c r="F84" s="236"/>
      <c r="G84" s="237"/>
      <c r="H84" s="240">
        <f>H83-E84</f>
        <v>3127538.850000001</v>
      </c>
      <c r="I84" s="317" t="s">
        <v>13</v>
      </c>
    </row>
    <row r="85" spans="2:9" ht="15" thickBot="1">
      <c r="B85" s="315">
        <v>46215</v>
      </c>
      <c r="C85" s="298" t="s">
        <v>169</v>
      </c>
      <c r="D85" s="246">
        <v>0.44</v>
      </c>
      <c r="E85" s="244">
        <v>362.36</v>
      </c>
      <c r="F85" s="236"/>
      <c r="G85" s="237"/>
      <c r="H85" s="240">
        <f>H84-E85</f>
        <v>3127176.4900000012</v>
      </c>
      <c r="I85" s="317" t="s">
        <v>13</v>
      </c>
    </row>
    <row r="86" spans="2:9" ht="15" thickBot="1">
      <c r="B86" s="139">
        <v>46216</v>
      </c>
      <c r="C86" s="140" t="s">
        <v>225</v>
      </c>
      <c r="D86" s="141"/>
      <c r="E86" s="143"/>
      <c r="F86" s="140">
        <v>11.76</v>
      </c>
      <c r="G86" s="141">
        <v>9689.58</v>
      </c>
      <c r="H86" s="144">
        <f>H85+G86</f>
        <v>3136866.0700000012</v>
      </c>
      <c r="I86" s="145" t="s">
        <v>13</v>
      </c>
    </row>
    <row r="87" spans="2:9" ht="15" thickBot="1">
      <c r="B87" s="139">
        <v>46216</v>
      </c>
      <c r="C87" s="140" t="s">
        <v>227</v>
      </c>
      <c r="D87" s="141"/>
      <c r="E87" s="143"/>
      <c r="F87" s="140">
        <v>8.82</v>
      </c>
      <c r="G87" s="141">
        <v>7267.19</v>
      </c>
      <c r="H87" s="144">
        <f>H86+G87</f>
        <v>3144133.2600000012</v>
      </c>
      <c r="I87" s="145" t="s">
        <v>13</v>
      </c>
    </row>
    <row r="88" spans="2:9" ht="15" thickBot="1">
      <c r="B88" s="315">
        <v>46216</v>
      </c>
      <c r="C88" s="298" t="s">
        <v>169</v>
      </c>
      <c r="D88" s="246">
        <v>0.18</v>
      </c>
      <c r="E88" s="244">
        <v>145.34</v>
      </c>
      <c r="F88" s="236"/>
      <c r="G88" s="237"/>
      <c r="H88" s="245">
        <f>H87-E88</f>
        <v>3143987.9200000013</v>
      </c>
      <c r="I88" s="239" t="s">
        <v>13</v>
      </c>
    </row>
    <row r="89" spans="2:9" ht="15" thickBot="1">
      <c r="B89" s="315">
        <v>46216</v>
      </c>
      <c r="C89" s="298" t="s">
        <v>169</v>
      </c>
      <c r="D89" s="246">
        <v>0.13</v>
      </c>
      <c r="E89" s="244">
        <v>109</v>
      </c>
      <c r="F89" s="234"/>
      <c r="G89" s="234"/>
      <c r="H89" s="245">
        <f>H88-E89</f>
        <v>3143878.9200000013</v>
      </c>
      <c r="I89" s="317" t="s">
        <v>13</v>
      </c>
    </row>
    <row r="90" spans="2:9" ht="15" thickBot="1">
      <c r="B90" s="231">
        <v>46216</v>
      </c>
      <c r="C90" s="316" t="s">
        <v>228</v>
      </c>
      <c r="D90" s="24">
        <v>14.83</v>
      </c>
      <c r="E90" s="235">
        <v>12220.43</v>
      </c>
      <c r="F90" s="234"/>
      <c r="G90" s="234"/>
      <c r="H90" s="76">
        <f>H89-E90</f>
        <v>3131658.4900000012</v>
      </c>
      <c r="I90" s="317" t="s">
        <v>13</v>
      </c>
    </row>
    <row r="91" spans="2:9" ht="15" thickBot="1">
      <c r="B91" s="231">
        <v>46216</v>
      </c>
      <c r="C91" s="316" t="s">
        <v>229</v>
      </c>
      <c r="D91" s="24">
        <v>25.39</v>
      </c>
      <c r="E91" s="235">
        <v>20920</v>
      </c>
      <c r="F91" s="234"/>
      <c r="G91" s="234"/>
      <c r="H91" s="76">
        <f>H90-E91</f>
        <v>3110738.4900000012</v>
      </c>
      <c r="I91" s="317" t="s">
        <v>13</v>
      </c>
    </row>
    <row r="92" spans="2:9" ht="15" thickBot="1">
      <c r="B92" s="139">
        <v>46217</v>
      </c>
      <c r="C92" s="140" t="s">
        <v>110</v>
      </c>
      <c r="D92" s="141"/>
      <c r="E92" s="143"/>
      <c r="F92" s="170">
        <v>5739.08</v>
      </c>
      <c r="G92" s="141">
        <v>4737592.6100000003</v>
      </c>
      <c r="H92" s="144">
        <f>H91+G92</f>
        <v>7848331.1000000015</v>
      </c>
      <c r="I92" s="145" t="s">
        <v>10</v>
      </c>
    </row>
    <row r="93" spans="2:9" ht="15" thickBot="1">
      <c r="B93" s="231">
        <v>46217</v>
      </c>
      <c r="C93" s="318" t="s">
        <v>230</v>
      </c>
      <c r="D93" s="24">
        <v>18.420000000000002</v>
      </c>
      <c r="E93" s="235">
        <v>15204</v>
      </c>
      <c r="F93" s="234"/>
      <c r="G93" s="234"/>
      <c r="H93" s="76">
        <f>H92-E93</f>
        <v>7833127.1000000015</v>
      </c>
      <c r="I93" s="319" t="s">
        <v>13</v>
      </c>
    </row>
    <row r="94" spans="2:9" ht="15" thickBot="1">
      <c r="B94" s="231">
        <v>46217</v>
      </c>
      <c r="C94" s="318" t="s">
        <v>231</v>
      </c>
      <c r="D94" s="24">
        <v>3.51</v>
      </c>
      <c r="E94" s="235">
        <v>2896</v>
      </c>
      <c r="F94" s="234"/>
      <c r="G94" s="234"/>
      <c r="H94" s="76">
        <f>H93-E94</f>
        <v>7830231.1000000015</v>
      </c>
      <c r="I94" s="319" t="s">
        <v>13</v>
      </c>
    </row>
    <row r="95" spans="2:9" ht="15" thickBot="1">
      <c r="B95" s="139">
        <v>46218</v>
      </c>
      <c r="C95" s="140" t="s">
        <v>232</v>
      </c>
      <c r="D95" s="141"/>
      <c r="E95" s="140"/>
      <c r="F95" s="143">
        <v>59.63</v>
      </c>
      <c r="G95" s="141">
        <v>43680.33</v>
      </c>
      <c r="H95" s="144">
        <f>H94+G95</f>
        <v>7873911.4300000016</v>
      </c>
      <c r="I95" s="145" t="s">
        <v>13</v>
      </c>
    </row>
    <row r="96" spans="2:9" ht="15" thickBot="1">
      <c r="B96" s="139">
        <v>46218</v>
      </c>
      <c r="C96" s="140" t="s">
        <v>234</v>
      </c>
      <c r="D96" s="141"/>
      <c r="E96" s="140"/>
      <c r="F96" s="143">
        <v>33.07</v>
      </c>
      <c r="G96" s="141">
        <v>24223.94</v>
      </c>
      <c r="H96" s="144">
        <f>H95+G96</f>
        <v>7898135.370000002</v>
      </c>
      <c r="I96" s="145" t="s">
        <v>13</v>
      </c>
    </row>
    <row r="97" spans="2:9" ht="15" thickBot="1">
      <c r="B97" s="139">
        <v>46218</v>
      </c>
      <c r="C97" s="140" t="s">
        <v>227</v>
      </c>
      <c r="D97" s="141"/>
      <c r="E97" s="143"/>
      <c r="F97" s="140">
        <v>22.93</v>
      </c>
      <c r="G97" s="141">
        <v>16795.28</v>
      </c>
      <c r="H97" s="144">
        <f>H96+G97</f>
        <v>7914930.6500000022</v>
      </c>
      <c r="I97" s="145" t="s">
        <v>13</v>
      </c>
    </row>
    <row r="98" spans="2:9" ht="15" thickBot="1">
      <c r="B98" s="139">
        <v>46218</v>
      </c>
      <c r="C98" s="140" t="s">
        <v>226</v>
      </c>
      <c r="D98" s="141"/>
      <c r="E98" s="143"/>
      <c r="F98" s="140">
        <v>19.84</v>
      </c>
      <c r="G98" s="141">
        <v>14534.37</v>
      </c>
      <c r="H98" s="144">
        <f>H97+G98</f>
        <v>7929465.0200000023</v>
      </c>
      <c r="I98" s="145" t="s">
        <v>13</v>
      </c>
    </row>
    <row r="99" spans="2:9" ht="15" thickBot="1">
      <c r="B99" s="10">
        <v>46218</v>
      </c>
      <c r="C99" s="298" t="s">
        <v>169</v>
      </c>
      <c r="D99" s="19">
        <v>0.89</v>
      </c>
      <c r="E99" s="30">
        <v>655.20000000000005</v>
      </c>
      <c r="F99" s="15"/>
      <c r="G99" s="15"/>
      <c r="H99" s="33">
        <f t="shared" ref="H99:H113" si="1">H98-E99</f>
        <v>7928809.8200000022</v>
      </c>
      <c r="I99" s="321" t="s">
        <v>13</v>
      </c>
    </row>
    <row r="100" spans="2:9" ht="15" thickBot="1">
      <c r="B100" s="320">
        <v>46218</v>
      </c>
      <c r="C100" s="298" t="s">
        <v>169</v>
      </c>
      <c r="D100" s="19">
        <v>0.5</v>
      </c>
      <c r="E100" s="30">
        <v>363.35</v>
      </c>
      <c r="F100" s="15"/>
      <c r="G100" s="15"/>
      <c r="H100" s="33">
        <f t="shared" si="1"/>
        <v>7928446.4700000025</v>
      </c>
      <c r="I100" s="321" t="s">
        <v>13</v>
      </c>
    </row>
    <row r="101" spans="2:9" ht="15" thickBot="1">
      <c r="B101" s="10">
        <v>46218</v>
      </c>
      <c r="C101" s="298" t="s">
        <v>169</v>
      </c>
      <c r="D101" s="19">
        <v>0.34</v>
      </c>
      <c r="E101" s="30">
        <v>251.92</v>
      </c>
      <c r="F101" s="15"/>
      <c r="G101" s="15"/>
      <c r="H101" s="33">
        <f t="shared" si="1"/>
        <v>7928194.5500000026</v>
      </c>
      <c r="I101" s="321" t="s">
        <v>13</v>
      </c>
    </row>
    <row r="102" spans="2:9" ht="15" thickBot="1">
      <c r="B102" s="10">
        <v>46218</v>
      </c>
      <c r="C102" s="298" t="s">
        <v>169</v>
      </c>
      <c r="D102" s="19">
        <v>0.3</v>
      </c>
      <c r="E102" s="30">
        <v>218.01</v>
      </c>
      <c r="F102" s="15"/>
      <c r="G102" s="15"/>
      <c r="H102" s="33">
        <f t="shared" si="1"/>
        <v>7927976.5400000028</v>
      </c>
      <c r="I102" s="321" t="s">
        <v>13</v>
      </c>
    </row>
    <row r="103" spans="2:9" ht="15" thickBot="1">
      <c r="B103" s="10">
        <v>46218</v>
      </c>
      <c r="C103" s="322" t="s">
        <v>235</v>
      </c>
      <c r="D103" s="19">
        <v>287.08</v>
      </c>
      <c r="E103" s="30">
        <v>240593.4</v>
      </c>
      <c r="F103" s="15"/>
      <c r="G103" s="15"/>
      <c r="H103" s="33">
        <f t="shared" si="1"/>
        <v>7687383.1400000025</v>
      </c>
      <c r="I103" s="321" t="s">
        <v>13</v>
      </c>
    </row>
    <row r="104" spans="2:9" ht="15" thickBot="1">
      <c r="B104" s="10">
        <v>46218</v>
      </c>
      <c r="C104" s="322" t="s">
        <v>236</v>
      </c>
      <c r="D104" s="19">
        <v>1223.22</v>
      </c>
      <c r="E104" s="30">
        <v>1025141.67</v>
      </c>
      <c r="F104" s="15"/>
      <c r="G104" s="15"/>
      <c r="H104" s="33">
        <f t="shared" si="1"/>
        <v>6662241.4700000025</v>
      </c>
      <c r="I104" s="321" t="s">
        <v>10</v>
      </c>
    </row>
    <row r="105" spans="2:9" ht="15" thickBot="1">
      <c r="B105" s="10">
        <v>46218</v>
      </c>
      <c r="C105" s="322" t="s">
        <v>31</v>
      </c>
      <c r="D105" s="19">
        <v>3.67</v>
      </c>
      <c r="E105" s="30">
        <v>3075.42</v>
      </c>
      <c r="F105" s="15"/>
      <c r="G105" s="15"/>
      <c r="H105" s="33">
        <f t="shared" si="1"/>
        <v>6659166.0500000026</v>
      </c>
      <c r="I105" s="321" t="s">
        <v>25</v>
      </c>
    </row>
    <row r="106" spans="2:9" ht="15" thickBot="1">
      <c r="B106" s="10">
        <v>46218</v>
      </c>
      <c r="C106" s="322" t="s">
        <v>237</v>
      </c>
      <c r="D106" s="19">
        <v>1223.22</v>
      </c>
      <c r="E106" s="30">
        <v>1025141.67</v>
      </c>
      <c r="F106" s="15"/>
      <c r="G106" s="15"/>
      <c r="H106" s="33">
        <f t="shared" si="1"/>
        <v>5634024.3800000027</v>
      </c>
      <c r="I106" s="321" t="s">
        <v>10</v>
      </c>
    </row>
    <row r="107" spans="2:9" ht="15" thickBot="1">
      <c r="B107" s="10">
        <v>46218</v>
      </c>
      <c r="C107" s="322" t="s">
        <v>31</v>
      </c>
      <c r="D107" s="19">
        <v>3.67</v>
      </c>
      <c r="E107" s="30">
        <v>3075.42</v>
      </c>
      <c r="F107" s="15"/>
      <c r="G107" s="15"/>
      <c r="H107" s="33">
        <f t="shared" si="1"/>
        <v>5630948.9600000028</v>
      </c>
      <c r="I107" s="321" t="s">
        <v>25</v>
      </c>
    </row>
    <row r="108" spans="2:9" ht="15" thickBot="1">
      <c r="B108" s="10">
        <v>46218</v>
      </c>
      <c r="C108" s="322" t="s">
        <v>238</v>
      </c>
      <c r="D108" s="19">
        <v>140.68</v>
      </c>
      <c r="E108" s="30">
        <v>117902.39999999999</v>
      </c>
      <c r="F108" s="15"/>
      <c r="G108" s="15"/>
      <c r="H108" s="33">
        <f t="shared" si="1"/>
        <v>5513046.5600000024</v>
      </c>
      <c r="I108" s="321" t="s">
        <v>10</v>
      </c>
    </row>
    <row r="109" spans="2:9" ht="15" thickBot="1">
      <c r="B109" s="10">
        <v>46218</v>
      </c>
      <c r="C109" s="322" t="s">
        <v>31</v>
      </c>
      <c r="D109" s="19">
        <v>0.42</v>
      </c>
      <c r="E109" s="30">
        <v>353.7</v>
      </c>
      <c r="F109" s="15"/>
      <c r="G109" s="15"/>
      <c r="H109" s="33">
        <f t="shared" si="1"/>
        <v>5512692.8600000022</v>
      </c>
      <c r="I109" s="321" t="s">
        <v>25</v>
      </c>
    </row>
    <row r="110" spans="2:9" ht="29.5" thickBot="1">
      <c r="B110" s="10">
        <v>46218</v>
      </c>
      <c r="C110" s="323" t="s">
        <v>239</v>
      </c>
      <c r="D110" s="19">
        <v>223.42</v>
      </c>
      <c r="E110" s="30">
        <v>187242.73</v>
      </c>
      <c r="F110" s="15"/>
      <c r="G110" s="15"/>
      <c r="H110" s="33">
        <f t="shared" si="1"/>
        <v>5325450.1300000018</v>
      </c>
      <c r="I110" s="321" t="s">
        <v>10</v>
      </c>
    </row>
    <row r="111" spans="2:9" ht="15" thickBot="1">
      <c r="B111" s="10">
        <v>46218</v>
      </c>
      <c r="C111" s="322" t="s">
        <v>31</v>
      </c>
      <c r="D111" s="19">
        <v>0.42</v>
      </c>
      <c r="E111" s="30">
        <v>561.72</v>
      </c>
      <c r="F111" s="15"/>
      <c r="G111" s="15"/>
      <c r="H111" s="33">
        <f t="shared" si="1"/>
        <v>5324888.410000002</v>
      </c>
      <c r="I111" s="321" t="s">
        <v>25</v>
      </c>
    </row>
    <row r="112" spans="2:9" ht="15" thickBot="1">
      <c r="B112" s="10">
        <v>46218</v>
      </c>
      <c r="C112" s="322" t="s">
        <v>240</v>
      </c>
      <c r="D112" s="19">
        <v>223.42</v>
      </c>
      <c r="E112" s="30">
        <v>187242.73</v>
      </c>
      <c r="F112" s="15"/>
      <c r="G112" s="15"/>
      <c r="H112" s="33">
        <f t="shared" si="1"/>
        <v>5137645.6800000016</v>
      </c>
      <c r="I112" s="321" t="s">
        <v>10</v>
      </c>
    </row>
    <row r="113" spans="2:9" ht="15" thickBot="1">
      <c r="B113" s="10">
        <v>46218</v>
      </c>
      <c r="C113" s="322" t="s">
        <v>31</v>
      </c>
      <c r="D113" s="19">
        <v>0.42</v>
      </c>
      <c r="E113" s="30">
        <v>561.72</v>
      </c>
      <c r="F113" s="15"/>
      <c r="G113" s="15"/>
      <c r="H113" s="33">
        <f t="shared" si="1"/>
        <v>5137083.9600000018</v>
      </c>
      <c r="I113" s="321" t="s">
        <v>25</v>
      </c>
    </row>
    <row r="114" spans="2:9" ht="15" thickBot="1">
      <c r="B114" s="139">
        <v>46219</v>
      </c>
      <c r="C114" s="140" t="s">
        <v>241</v>
      </c>
      <c r="D114" s="141"/>
      <c r="E114" s="143"/>
      <c r="F114" s="140">
        <v>223.42</v>
      </c>
      <c r="G114" s="141">
        <v>187242.73</v>
      </c>
      <c r="H114" s="144">
        <f>H113+G114</f>
        <v>5324326.6900000023</v>
      </c>
      <c r="I114" s="145" t="s">
        <v>10</v>
      </c>
    </row>
    <row r="115" spans="2:9" ht="15" thickBot="1">
      <c r="B115" s="139">
        <v>46219</v>
      </c>
      <c r="C115" s="140" t="s">
        <v>233</v>
      </c>
      <c r="D115" s="141"/>
      <c r="E115" s="143"/>
      <c r="F115" s="140">
        <v>32.049999999999997</v>
      </c>
      <c r="G115" s="141">
        <v>26862.58</v>
      </c>
      <c r="H115" s="144">
        <f>H114+G115</f>
        <v>5351189.2700000023</v>
      </c>
      <c r="I115" s="145" t="s">
        <v>13</v>
      </c>
    </row>
    <row r="116" spans="2:9" ht="15" thickBot="1">
      <c r="B116" s="139">
        <v>46219</v>
      </c>
      <c r="C116" s="140" t="s">
        <v>234</v>
      </c>
      <c r="D116" s="141"/>
      <c r="E116" s="143"/>
      <c r="F116" s="140">
        <v>19.010000000000002</v>
      </c>
      <c r="G116" s="141">
        <v>15927.7</v>
      </c>
      <c r="H116" s="144">
        <f>H115+G116</f>
        <v>5367116.9700000025</v>
      </c>
      <c r="I116" s="145" t="s">
        <v>13</v>
      </c>
    </row>
    <row r="117" spans="2:9" ht="15" thickBot="1">
      <c r="B117" s="10">
        <v>46219</v>
      </c>
      <c r="C117" s="298" t="s">
        <v>169</v>
      </c>
      <c r="D117" s="19">
        <v>0.48</v>
      </c>
      <c r="E117" s="30">
        <v>402.93</v>
      </c>
      <c r="F117" s="15"/>
      <c r="G117" s="15"/>
      <c r="H117" s="33">
        <f>H116-E117</f>
        <v>5366714.0400000028</v>
      </c>
      <c r="I117" s="321" t="s">
        <v>13</v>
      </c>
    </row>
    <row r="118" spans="2:9" ht="15" thickBot="1">
      <c r="B118" s="10">
        <v>46219</v>
      </c>
      <c r="C118" s="298" t="s">
        <v>169</v>
      </c>
      <c r="D118" s="19">
        <v>0.28999999999999998</v>
      </c>
      <c r="E118" s="30">
        <v>238.91</v>
      </c>
      <c r="F118" s="15"/>
      <c r="G118" s="15"/>
      <c r="H118" s="33">
        <f>H117-E118</f>
        <v>5366475.1300000027</v>
      </c>
      <c r="I118" s="321" t="s">
        <v>13</v>
      </c>
    </row>
    <row r="119" spans="2:9" ht="29.5" thickBot="1">
      <c r="B119" s="10">
        <v>46219</v>
      </c>
      <c r="C119" s="323" t="s">
        <v>242</v>
      </c>
      <c r="D119" s="19">
        <v>24.3</v>
      </c>
      <c r="E119" s="30">
        <v>20368.25</v>
      </c>
      <c r="F119" s="15"/>
      <c r="G119" s="15"/>
      <c r="H119" s="33">
        <f>H118-E119</f>
        <v>5346106.8800000027</v>
      </c>
      <c r="I119" s="321" t="s">
        <v>13</v>
      </c>
    </row>
    <row r="120" spans="2:9" ht="15" thickBot="1">
      <c r="B120" s="10">
        <v>46219</v>
      </c>
      <c r="C120" s="322" t="s">
        <v>243</v>
      </c>
      <c r="D120" s="19">
        <v>15.1</v>
      </c>
      <c r="E120" s="30">
        <v>12657.63</v>
      </c>
      <c r="F120" s="15"/>
      <c r="G120" s="15"/>
      <c r="H120" s="33">
        <f>H119-E120</f>
        <v>5333449.2500000028</v>
      </c>
      <c r="I120" s="321" t="s">
        <v>10</v>
      </c>
    </row>
    <row r="121" spans="2:9" ht="15" thickBot="1">
      <c r="B121" s="10">
        <v>46219</v>
      </c>
      <c r="C121" s="322" t="s">
        <v>31</v>
      </c>
      <c r="D121" s="19">
        <v>0.05</v>
      </c>
      <c r="E121" s="30">
        <v>37.97</v>
      </c>
      <c r="F121" s="15"/>
      <c r="G121" s="15"/>
      <c r="H121" s="33">
        <f>H120-E121</f>
        <v>5333411.2800000031</v>
      </c>
      <c r="I121" s="321" t="s">
        <v>25</v>
      </c>
    </row>
    <row r="122" spans="2:9" ht="15" thickBot="1">
      <c r="B122" s="139">
        <v>46220</v>
      </c>
      <c r="C122" s="140" t="s">
        <v>110</v>
      </c>
      <c r="D122" s="141"/>
      <c r="E122" s="143"/>
      <c r="F122" s="140">
        <v>408.39</v>
      </c>
      <c r="G122" s="141">
        <v>342253.54</v>
      </c>
      <c r="H122" s="144">
        <f>H121+G122</f>
        <v>5675664.8200000031</v>
      </c>
      <c r="I122" s="145" t="s">
        <v>10</v>
      </c>
    </row>
    <row r="123" spans="2:9" ht="15" thickBot="1">
      <c r="B123" s="139">
        <v>46220</v>
      </c>
      <c r="C123" s="140" t="s">
        <v>244</v>
      </c>
      <c r="D123" s="141"/>
      <c r="E123" s="143"/>
      <c r="F123" s="140">
        <v>37.67</v>
      </c>
      <c r="G123" s="141">
        <v>31570.639999999999</v>
      </c>
      <c r="H123" s="144">
        <f>H122+G123</f>
        <v>5707235.4600000028</v>
      </c>
      <c r="I123" s="145" t="s">
        <v>13</v>
      </c>
    </row>
    <row r="124" spans="2:9" ht="15" thickBot="1">
      <c r="B124" s="139">
        <v>46220</v>
      </c>
      <c r="C124" s="140" t="s">
        <v>232</v>
      </c>
      <c r="D124" s="141"/>
      <c r="E124" s="143"/>
      <c r="F124" s="140">
        <v>20.28</v>
      </c>
      <c r="G124" s="141">
        <v>16991.91</v>
      </c>
      <c r="H124" s="144">
        <f>H123+G124</f>
        <v>5724227.3700000029</v>
      </c>
      <c r="I124" s="145" t="s">
        <v>13</v>
      </c>
    </row>
    <row r="125" spans="2:9" ht="15" thickBot="1">
      <c r="B125" s="139">
        <v>46220</v>
      </c>
      <c r="C125" s="140" t="s">
        <v>245</v>
      </c>
      <c r="D125" s="141"/>
      <c r="E125" s="143"/>
      <c r="F125" s="140">
        <v>2.91</v>
      </c>
      <c r="G125" s="141">
        <v>2442.0300000000002</v>
      </c>
      <c r="H125" s="144">
        <f>H124+G125</f>
        <v>5726669.4000000032</v>
      </c>
      <c r="I125" s="145" t="s">
        <v>13</v>
      </c>
    </row>
    <row r="126" spans="2:9" ht="15" thickBot="1">
      <c r="B126" s="10">
        <v>46220</v>
      </c>
      <c r="C126" s="298" t="s">
        <v>169</v>
      </c>
      <c r="D126" s="19">
        <v>0.56999999999999995</v>
      </c>
      <c r="E126" s="30">
        <v>473.55</v>
      </c>
      <c r="F126" s="15"/>
      <c r="G126" s="15"/>
      <c r="H126" s="33">
        <f>H125-E126</f>
        <v>5726195.8500000034</v>
      </c>
      <c r="I126" s="321" t="s">
        <v>13</v>
      </c>
    </row>
    <row r="127" spans="2:9" ht="15" thickBot="1">
      <c r="B127" s="10">
        <v>46220</v>
      </c>
      <c r="C127" s="298" t="s">
        <v>169</v>
      </c>
      <c r="D127" s="19">
        <v>0.3</v>
      </c>
      <c r="E127" s="30">
        <v>254.87</v>
      </c>
      <c r="F127" s="15"/>
      <c r="G127" s="15"/>
      <c r="H127" s="33">
        <f>H126-E127</f>
        <v>5725940.9800000032</v>
      </c>
      <c r="I127" s="321" t="s">
        <v>13</v>
      </c>
    </row>
    <row r="128" spans="2:9" ht="15" thickBot="1">
      <c r="B128" s="10">
        <v>46220</v>
      </c>
      <c r="C128" s="298" t="s">
        <v>169</v>
      </c>
      <c r="D128" s="19">
        <v>0.04</v>
      </c>
      <c r="E128" s="30">
        <v>36.630000000000003</v>
      </c>
      <c r="F128" s="15"/>
      <c r="G128" s="15"/>
      <c r="H128" s="33">
        <f>H127-E128</f>
        <v>5725904.3500000034</v>
      </c>
      <c r="I128" s="321" t="s">
        <v>13</v>
      </c>
    </row>
    <row r="129" spans="2:21" ht="29.5" thickBot="1">
      <c r="B129" s="139">
        <v>46220</v>
      </c>
      <c r="C129" s="181" t="s">
        <v>246</v>
      </c>
      <c r="D129" s="141"/>
      <c r="E129" s="143"/>
      <c r="F129" s="140">
        <v>22.73</v>
      </c>
      <c r="G129" s="141">
        <v>19047.189999999999</v>
      </c>
      <c r="H129" s="144">
        <f>H128+G129</f>
        <v>5744951.5400000038</v>
      </c>
      <c r="I129" s="145" t="s">
        <v>10</v>
      </c>
    </row>
    <row r="130" spans="2:21" ht="29.5" thickBot="1">
      <c r="B130" s="139">
        <v>46220</v>
      </c>
      <c r="C130" s="181" t="s">
        <v>247</v>
      </c>
      <c r="D130" s="141"/>
      <c r="E130" s="142"/>
      <c r="F130" s="140">
        <v>52.2</v>
      </c>
      <c r="G130" s="143">
        <v>43747.02</v>
      </c>
      <c r="H130" s="144">
        <f>H129+G130</f>
        <v>5788698.5600000033</v>
      </c>
      <c r="I130" s="145" t="s">
        <v>10</v>
      </c>
    </row>
    <row r="131" spans="2:21" ht="15" thickBot="1">
      <c r="B131" s="10">
        <v>46220</v>
      </c>
      <c r="C131" s="324" t="s">
        <v>248</v>
      </c>
      <c r="D131" s="19">
        <v>309.60000000000002</v>
      </c>
      <c r="E131" s="30">
        <v>228158.05</v>
      </c>
      <c r="F131" s="15"/>
      <c r="G131" s="15"/>
      <c r="H131" s="33">
        <f>H130-E131</f>
        <v>5560540.5100000035</v>
      </c>
      <c r="I131" s="325" t="s">
        <v>10</v>
      </c>
    </row>
    <row r="132" spans="2:21" ht="15" thickBot="1">
      <c r="B132" s="10">
        <v>46220</v>
      </c>
      <c r="C132" s="324" t="s">
        <v>31</v>
      </c>
      <c r="D132" s="19">
        <v>0.93</v>
      </c>
      <c r="E132" s="30">
        <v>684.47</v>
      </c>
      <c r="F132" s="15"/>
      <c r="G132" s="15"/>
      <c r="H132" s="33">
        <f>H131-E132</f>
        <v>5559856.0400000038</v>
      </c>
      <c r="I132" s="325" t="s">
        <v>25</v>
      </c>
    </row>
    <row r="133" spans="2:21" ht="29.5" thickBot="1">
      <c r="B133" s="326">
        <v>46220</v>
      </c>
      <c r="C133" s="327" t="s">
        <v>249</v>
      </c>
      <c r="D133" s="19">
        <v>2589.41</v>
      </c>
      <c r="E133" s="30">
        <v>1908224.21</v>
      </c>
      <c r="F133" s="15"/>
      <c r="G133" s="15"/>
      <c r="H133" s="33">
        <f>H132-E133</f>
        <v>3651631.8300000038</v>
      </c>
      <c r="I133" s="325" t="s">
        <v>10</v>
      </c>
    </row>
    <row r="134" spans="2:21" ht="15" thickBot="1">
      <c r="B134" s="10">
        <v>46220</v>
      </c>
      <c r="C134" s="324" t="s">
        <v>31</v>
      </c>
      <c r="D134" s="19">
        <v>7.77</v>
      </c>
      <c r="E134" s="30">
        <v>5724.67</v>
      </c>
      <c r="F134" s="15"/>
      <c r="G134" s="15"/>
      <c r="H134" s="33">
        <f>H133-E134</f>
        <v>3645907.1600000039</v>
      </c>
      <c r="I134" s="325" t="s">
        <v>25</v>
      </c>
    </row>
    <row r="135" spans="2:21" ht="15" thickBot="1">
      <c r="B135" s="139">
        <v>46221</v>
      </c>
      <c r="C135" s="140" t="s">
        <v>233</v>
      </c>
      <c r="D135" s="141"/>
      <c r="E135" s="143"/>
      <c r="F135" s="140">
        <v>43.47</v>
      </c>
      <c r="G135" s="141">
        <v>32030.91</v>
      </c>
      <c r="H135" s="144">
        <f>H134+G135</f>
        <v>3677938.070000004</v>
      </c>
      <c r="I135" s="145" t="s">
        <v>13</v>
      </c>
      <c r="U135">
        <v>0</v>
      </c>
    </row>
    <row r="136" spans="2:21" ht="15" thickBot="1">
      <c r="B136" s="139">
        <v>46221</v>
      </c>
      <c r="C136" s="140" t="s">
        <v>250</v>
      </c>
      <c r="D136" s="141"/>
      <c r="E136" s="143"/>
      <c r="F136" s="140">
        <v>26.76</v>
      </c>
      <c r="G136" s="141">
        <v>19721.13</v>
      </c>
      <c r="H136" s="144">
        <f>H135+G136</f>
        <v>3697659.2000000039</v>
      </c>
      <c r="I136" s="145" t="s">
        <v>13</v>
      </c>
    </row>
    <row r="137" spans="2:21" ht="15" thickBot="1">
      <c r="B137" s="139">
        <v>46221</v>
      </c>
      <c r="C137" s="140" t="s">
        <v>251</v>
      </c>
      <c r="D137" s="141"/>
      <c r="E137" s="143"/>
      <c r="F137" s="140">
        <v>4.12</v>
      </c>
      <c r="G137" s="141">
        <v>3034.03</v>
      </c>
      <c r="H137" s="144">
        <f>H136+G137</f>
        <v>3700693.2300000037</v>
      </c>
      <c r="I137" s="145" t="s">
        <v>13</v>
      </c>
    </row>
    <row r="138" spans="2:21" ht="15" thickBot="1">
      <c r="B138" s="326">
        <v>46221</v>
      </c>
      <c r="C138" s="298" t="s">
        <v>169</v>
      </c>
      <c r="D138" s="19">
        <v>0.65</v>
      </c>
      <c r="E138" s="30">
        <v>480.46</v>
      </c>
      <c r="F138" s="15"/>
      <c r="G138" s="15"/>
      <c r="H138" s="33">
        <f>H137-E138</f>
        <v>3700212.7700000037</v>
      </c>
      <c r="I138" s="325" t="s">
        <v>25</v>
      </c>
    </row>
    <row r="139" spans="2:21" ht="15" thickBot="1">
      <c r="B139" s="326">
        <v>46221</v>
      </c>
      <c r="C139" s="298" t="s">
        <v>169</v>
      </c>
      <c r="D139" s="19">
        <v>0.4</v>
      </c>
      <c r="E139" s="30">
        <v>295.81</v>
      </c>
      <c r="F139" s="15"/>
      <c r="G139" s="15"/>
      <c r="H139" s="33">
        <f>H138-E139</f>
        <v>3699916.9600000037</v>
      </c>
      <c r="I139" s="325" t="s">
        <v>25</v>
      </c>
    </row>
    <row r="140" spans="2:21" ht="15" thickBot="1">
      <c r="B140" s="326">
        <v>46221</v>
      </c>
      <c r="C140" s="298" t="s">
        <v>169</v>
      </c>
      <c r="D140" s="19">
        <v>0.06</v>
      </c>
      <c r="E140" s="30">
        <v>45.51</v>
      </c>
      <c r="F140" s="15"/>
      <c r="G140" s="15"/>
      <c r="H140" s="33">
        <f>H139-E140</f>
        <v>3699871.4500000039</v>
      </c>
      <c r="I140" s="325" t="s">
        <v>25</v>
      </c>
    </row>
    <row r="141" spans="2:21" ht="15" thickBot="1">
      <c r="B141" s="139">
        <v>46222</v>
      </c>
      <c r="C141" s="140" t="s">
        <v>252</v>
      </c>
      <c r="D141" s="141"/>
      <c r="E141" s="143"/>
      <c r="F141" s="140">
        <v>57.16</v>
      </c>
      <c r="G141" s="141">
        <v>42125.2</v>
      </c>
      <c r="H141" s="144">
        <f>H140+G141</f>
        <v>3741996.6500000041</v>
      </c>
      <c r="I141" s="145" t="s">
        <v>13</v>
      </c>
    </row>
    <row r="142" spans="2:21" ht="15" thickBot="1">
      <c r="B142" s="139">
        <v>46222</v>
      </c>
      <c r="C142" s="140" t="s">
        <v>245</v>
      </c>
      <c r="D142" s="141"/>
      <c r="E142" s="143"/>
      <c r="F142" s="140">
        <v>26.74</v>
      </c>
      <c r="G142" s="141">
        <v>19705.060000000001</v>
      </c>
      <c r="H142" s="144">
        <f>H141+G142</f>
        <v>3761701.7100000042</v>
      </c>
      <c r="I142" s="145" t="s">
        <v>13</v>
      </c>
    </row>
    <row r="143" spans="2:21" ht="15" thickBot="1">
      <c r="B143" s="10">
        <v>46222</v>
      </c>
      <c r="C143" s="298" t="s">
        <v>169</v>
      </c>
      <c r="D143" s="19">
        <v>0.86</v>
      </c>
      <c r="E143" s="30">
        <v>631.87</v>
      </c>
      <c r="F143" s="15"/>
      <c r="G143" s="15"/>
      <c r="H143" s="33">
        <f>H142-E143</f>
        <v>3761069.840000004</v>
      </c>
      <c r="I143" s="325" t="s">
        <v>13</v>
      </c>
    </row>
    <row r="144" spans="2:21" ht="15" thickBot="1">
      <c r="B144" s="10">
        <v>46222</v>
      </c>
      <c r="C144" s="298" t="s">
        <v>169</v>
      </c>
      <c r="D144" s="19">
        <v>0.4</v>
      </c>
      <c r="E144" s="30">
        <v>295.57</v>
      </c>
      <c r="F144" s="15"/>
      <c r="G144" s="15"/>
      <c r="H144" s="33">
        <f>H143-E144</f>
        <v>3760774.2700000042</v>
      </c>
      <c r="I144" s="325" t="s">
        <v>13</v>
      </c>
    </row>
    <row r="145" spans="2:9" ht="15" thickBot="1">
      <c r="B145" s="139">
        <v>46223</v>
      </c>
      <c r="C145" s="140" t="s">
        <v>244</v>
      </c>
      <c r="D145" s="141"/>
      <c r="E145" s="143"/>
      <c r="F145" s="140">
        <v>13.46</v>
      </c>
      <c r="G145" s="141">
        <v>9916.0400000000009</v>
      </c>
      <c r="H145" s="144">
        <f>H144+G145</f>
        <v>3770690.3100000042</v>
      </c>
      <c r="I145" s="145" t="s">
        <v>13</v>
      </c>
    </row>
    <row r="146" spans="2:9" ht="15" thickBot="1">
      <c r="B146" s="139">
        <v>46223</v>
      </c>
      <c r="C146" s="140" t="s">
        <v>253</v>
      </c>
      <c r="D146" s="141"/>
      <c r="E146" s="143"/>
      <c r="F146" s="140">
        <v>6.73</v>
      </c>
      <c r="G146" s="141">
        <v>4958.0200000000004</v>
      </c>
      <c r="H146" s="144">
        <f>H145+G146</f>
        <v>3775648.3300000043</v>
      </c>
      <c r="I146" s="145" t="s">
        <v>13</v>
      </c>
    </row>
    <row r="147" spans="2:9" ht="15" thickBot="1">
      <c r="B147" s="10">
        <v>46223</v>
      </c>
      <c r="C147" s="298" t="s">
        <v>169</v>
      </c>
      <c r="D147" s="19">
        <v>0.18</v>
      </c>
      <c r="E147" s="30">
        <v>148.74</v>
      </c>
      <c r="F147" s="15"/>
      <c r="G147" s="15"/>
      <c r="H147" s="33">
        <f>H146-E147</f>
        <v>3775499.590000004</v>
      </c>
      <c r="I147" s="325" t="s">
        <v>25</v>
      </c>
    </row>
    <row r="148" spans="2:9" ht="15" thickBot="1">
      <c r="B148" s="10">
        <v>46223</v>
      </c>
      <c r="C148" s="298" t="s">
        <v>169</v>
      </c>
      <c r="D148" s="19">
        <v>0.09</v>
      </c>
      <c r="E148" s="30">
        <v>74.37</v>
      </c>
      <c r="F148" s="15"/>
      <c r="G148" s="15"/>
      <c r="H148" s="33">
        <f>H147-E148</f>
        <v>3775425.2200000039</v>
      </c>
      <c r="I148" s="325" t="s">
        <v>25</v>
      </c>
    </row>
    <row r="149" spans="2:9" ht="15" thickBot="1">
      <c r="B149" s="139">
        <v>46224</v>
      </c>
      <c r="C149" s="140" t="s">
        <v>254</v>
      </c>
      <c r="D149" s="141"/>
      <c r="E149" s="143"/>
      <c r="F149" s="140">
        <v>28.76</v>
      </c>
      <c r="G149" s="141">
        <v>21202.01</v>
      </c>
      <c r="H149" s="144">
        <f>H148+G149</f>
        <v>3796627.2300000037</v>
      </c>
      <c r="I149" s="145" t="s">
        <v>13</v>
      </c>
    </row>
    <row r="150" spans="2:9" ht="15" thickBot="1">
      <c r="B150" s="139">
        <v>46224</v>
      </c>
      <c r="C150" s="140" t="s">
        <v>250</v>
      </c>
      <c r="D150" s="141"/>
      <c r="E150" s="143"/>
      <c r="F150" s="140">
        <v>6.73</v>
      </c>
      <c r="G150" s="141">
        <v>4958.0200000000004</v>
      </c>
      <c r="H150" s="144">
        <f>H149+G150</f>
        <v>3801585.2500000037</v>
      </c>
      <c r="I150" s="145" t="s">
        <v>13</v>
      </c>
    </row>
    <row r="151" spans="2:9" ht="15" thickBot="1">
      <c r="B151" s="139">
        <v>46224</v>
      </c>
      <c r="C151" s="140" t="s">
        <v>255</v>
      </c>
      <c r="D151" s="141"/>
      <c r="E151" s="143"/>
      <c r="F151" s="140">
        <v>3.36</v>
      </c>
      <c r="G151" s="140">
        <v>2479.0100000000002</v>
      </c>
      <c r="H151" s="144">
        <f>H150+G151</f>
        <v>3804064.2600000035</v>
      </c>
      <c r="I151" s="145" t="s">
        <v>13</v>
      </c>
    </row>
    <row r="152" spans="2:9" ht="15" thickBot="1">
      <c r="B152" s="10">
        <v>46224</v>
      </c>
      <c r="C152" s="298" t="s">
        <v>169</v>
      </c>
      <c r="D152" s="19">
        <v>0.38</v>
      </c>
      <c r="E152" s="30">
        <v>318.02999999999997</v>
      </c>
      <c r="F152" s="15"/>
      <c r="G152" s="15"/>
      <c r="H152" s="33">
        <f t="shared" ref="H152:H162" si="2">H151-E152</f>
        <v>3803746.2300000037</v>
      </c>
      <c r="I152" s="328" t="s">
        <v>25</v>
      </c>
    </row>
    <row r="153" spans="2:9" ht="15" thickBot="1">
      <c r="B153" s="10">
        <v>46224</v>
      </c>
      <c r="C153" s="298" t="s">
        <v>169</v>
      </c>
      <c r="D153" s="19">
        <v>0.09</v>
      </c>
      <c r="E153" s="30">
        <v>74.37</v>
      </c>
      <c r="F153" s="15"/>
      <c r="G153" s="15"/>
      <c r="H153" s="33">
        <f t="shared" si="2"/>
        <v>3803671.8600000036</v>
      </c>
      <c r="I153" s="328" t="s">
        <v>25</v>
      </c>
    </row>
    <row r="154" spans="2:9" ht="15" thickBot="1">
      <c r="B154" s="10">
        <v>46224</v>
      </c>
      <c r="C154" s="298" t="s">
        <v>169</v>
      </c>
      <c r="D154" s="19">
        <v>0.04</v>
      </c>
      <c r="E154" s="30">
        <v>37.18</v>
      </c>
      <c r="F154" s="15"/>
      <c r="G154" s="15"/>
      <c r="H154" s="33">
        <f t="shared" si="2"/>
        <v>3803634.6800000034</v>
      </c>
      <c r="I154" s="328" t="s">
        <v>25</v>
      </c>
    </row>
    <row r="155" spans="2:9" ht="15" thickBot="1">
      <c r="B155" s="10">
        <v>46224</v>
      </c>
      <c r="C155" s="329" t="s">
        <v>256</v>
      </c>
      <c r="D155" s="19">
        <v>22.36</v>
      </c>
      <c r="E155" s="30">
        <v>18799.32</v>
      </c>
      <c r="F155" s="15"/>
      <c r="G155" s="15"/>
      <c r="H155" s="33">
        <f t="shared" si="2"/>
        <v>3784835.3600000036</v>
      </c>
      <c r="I155" s="328" t="s">
        <v>13</v>
      </c>
    </row>
    <row r="156" spans="2:9" ht="15" thickBot="1">
      <c r="B156" s="10">
        <v>46224</v>
      </c>
      <c r="C156" s="329" t="s">
        <v>257</v>
      </c>
      <c r="D156" s="19">
        <v>14.34</v>
      </c>
      <c r="E156" s="30">
        <v>12055.76</v>
      </c>
      <c r="F156" s="15"/>
      <c r="G156" s="15"/>
      <c r="H156" s="33">
        <f t="shared" si="2"/>
        <v>3772779.6000000038</v>
      </c>
      <c r="I156" s="328" t="s">
        <v>13</v>
      </c>
    </row>
    <row r="157" spans="2:9" ht="15" thickBot="1">
      <c r="B157" s="10">
        <v>46224</v>
      </c>
      <c r="C157" s="330" t="s">
        <v>258</v>
      </c>
      <c r="D157" s="19">
        <v>258.79000000000002</v>
      </c>
      <c r="E157" s="30">
        <v>217605</v>
      </c>
      <c r="F157" s="15"/>
      <c r="G157" s="15"/>
      <c r="H157" s="33">
        <f t="shared" si="2"/>
        <v>3555174.6000000038</v>
      </c>
      <c r="I157" s="328" t="s">
        <v>10</v>
      </c>
    </row>
    <row r="158" spans="2:9" ht="15" thickBot="1">
      <c r="B158" s="10">
        <v>46224</v>
      </c>
      <c r="C158" s="330" t="s">
        <v>31</v>
      </c>
      <c r="D158" s="19">
        <v>0.78</v>
      </c>
      <c r="E158" s="30">
        <v>652.80999999999995</v>
      </c>
      <c r="F158" s="15"/>
      <c r="G158" s="15"/>
      <c r="H158" s="33">
        <f t="shared" si="2"/>
        <v>3554521.7900000038</v>
      </c>
      <c r="I158" s="328" t="s">
        <v>25</v>
      </c>
    </row>
    <row r="159" spans="2:9" ht="15" thickBot="1">
      <c r="B159" s="10">
        <v>46224</v>
      </c>
      <c r="C159" s="330" t="s">
        <v>31</v>
      </c>
      <c r="D159" s="19">
        <v>9.0299999999999994</v>
      </c>
      <c r="E159" s="30">
        <v>7590.89</v>
      </c>
      <c r="F159" s="15"/>
      <c r="G159" s="15"/>
      <c r="H159" s="33">
        <f t="shared" si="2"/>
        <v>3546930.9000000036</v>
      </c>
      <c r="I159" s="328" t="s">
        <v>25</v>
      </c>
    </row>
    <row r="160" spans="2:9" ht="29.5" thickBot="1">
      <c r="B160" s="10">
        <v>46224</v>
      </c>
      <c r="C160" s="331" t="s">
        <v>259</v>
      </c>
      <c r="D160" s="19">
        <v>3009.19</v>
      </c>
      <c r="E160" s="30">
        <v>2530298.52</v>
      </c>
      <c r="F160" s="15"/>
      <c r="G160" s="15"/>
      <c r="H160" s="33">
        <f t="shared" si="2"/>
        <v>1016632.3800000036</v>
      </c>
      <c r="I160" s="328" t="s">
        <v>10</v>
      </c>
    </row>
    <row r="161" spans="2:9" ht="15" thickBot="1">
      <c r="B161" s="10">
        <v>46224</v>
      </c>
      <c r="C161" s="330" t="s">
        <v>31</v>
      </c>
      <c r="D161" s="19">
        <v>9.0299999999999994</v>
      </c>
      <c r="E161" s="30">
        <v>7590.89</v>
      </c>
      <c r="F161" s="15"/>
      <c r="G161" s="15"/>
      <c r="H161" s="33">
        <f t="shared" si="2"/>
        <v>1009041.4900000036</v>
      </c>
      <c r="I161" s="328" t="s">
        <v>25</v>
      </c>
    </row>
    <row r="162" spans="2:9" ht="15" thickBot="1">
      <c r="B162" s="10">
        <v>46224</v>
      </c>
      <c r="C162" s="329" t="s">
        <v>260</v>
      </c>
      <c r="D162" s="19">
        <v>52.61</v>
      </c>
      <c r="E162" s="30">
        <v>44233.93</v>
      </c>
      <c r="F162" s="15"/>
      <c r="G162" s="15"/>
      <c r="H162" s="33">
        <f t="shared" si="2"/>
        <v>964807.56000000355</v>
      </c>
      <c r="I162" s="8" t="s">
        <v>10</v>
      </c>
    </row>
    <row r="163" spans="2:9" ht="15" thickBot="1">
      <c r="B163" s="139">
        <v>46225</v>
      </c>
      <c r="C163" s="140" t="s">
        <v>263</v>
      </c>
      <c r="D163" s="141"/>
      <c r="E163" s="143"/>
      <c r="F163" s="170">
        <v>4329.6499999999996</v>
      </c>
      <c r="G163" s="141">
        <v>3640619.09</v>
      </c>
      <c r="H163" s="144">
        <f>H162+G163</f>
        <v>4605426.6500000032</v>
      </c>
      <c r="I163" s="145" t="s">
        <v>10</v>
      </c>
    </row>
    <row r="164" spans="2:9" ht="15" thickBot="1">
      <c r="B164" s="139">
        <v>46225</v>
      </c>
      <c r="C164" s="140" t="s">
        <v>261</v>
      </c>
      <c r="D164" s="141"/>
      <c r="E164" s="143"/>
      <c r="F164" s="140">
        <v>40.54</v>
      </c>
      <c r="G164" s="141">
        <v>34091.94</v>
      </c>
      <c r="H164" s="144">
        <f t="shared" ref="H164:H166" si="3">H163+G164</f>
        <v>4639518.5900000036</v>
      </c>
      <c r="I164" s="145" t="s">
        <v>13</v>
      </c>
    </row>
    <row r="165" spans="2:9" ht="15" thickBot="1">
      <c r="B165" s="139">
        <v>46225</v>
      </c>
      <c r="C165" s="140" t="s">
        <v>252</v>
      </c>
      <c r="D165" s="141"/>
      <c r="E165" s="143"/>
      <c r="F165" s="140">
        <v>14.7</v>
      </c>
      <c r="G165" s="141">
        <v>12358.44</v>
      </c>
      <c r="H165" s="144">
        <f t="shared" si="3"/>
        <v>4651877.030000004</v>
      </c>
      <c r="I165" s="145" t="s">
        <v>13</v>
      </c>
    </row>
    <row r="166" spans="2:9" ht="15" thickBot="1">
      <c r="B166" s="139">
        <v>46225</v>
      </c>
      <c r="C166" s="140" t="s">
        <v>262</v>
      </c>
      <c r="D166" s="141"/>
      <c r="E166" s="143"/>
      <c r="F166" s="140">
        <v>11.76</v>
      </c>
      <c r="G166" s="141">
        <v>9887.61</v>
      </c>
      <c r="H166" s="144">
        <f t="shared" si="3"/>
        <v>4661764.6400000043</v>
      </c>
      <c r="I166" s="145" t="s">
        <v>13</v>
      </c>
    </row>
    <row r="167" spans="2:9" ht="15" thickBot="1">
      <c r="B167" s="10">
        <v>46225</v>
      </c>
      <c r="C167" s="298" t="s">
        <v>169</v>
      </c>
      <c r="D167" s="19">
        <v>0.61</v>
      </c>
      <c r="E167" s="30">
        <v>511.37</v>
      </c>
      <c r="F167" s="15"/>
      <c r="G167" s="15"/>
      <c r="H167" s="33">
        <f t="shared" ref="H167:H172" si="4">H166-E167</f>
        <v>4661253.2700000042</v>
      </c>
      <c r="I167" s="328" t="s">
        <v>25</v>
      </c>
    </row>
    <row r="168" spans="2:9" ht="15" thickBot="1">
      <c r="B168" s="10">
        <v>46225</v>
      </c>
      <c r="C168" s="298" t="s">
        <v>169</v>
      </c>
      <c r="D168" s="19">
        <v>0.22</v>
      </c>
      <c r="E168" s="30">
        <v>185.37</v>
      </c>
      <c r="F168" s="15"/>
      <c r="G168" s="15"/>
      <c r="H168" s="33">
        <f t="shared" si="4"/>
        <v>4661067.9000000041</v>
      </c>
      <c r="I168" s="328" t="s">
        <v>25</v>
      </c>
    </row>
    <row r="169" spans="2:9" ht="15" thickBot="1">
      <c r="B169" s="10">
        <v>46225</v>
      </c>
      <c r="C169" s="298" t="s">
        <v>169</v>
      </c>
      <c r="D169" s="19">
        <v>0.18</v>
      </c>
      <c r="E169" s="30">
        <v>148.31</v>
      </c>
      <c r="F169" s="15"/>
      <c r="G169" s="15"/>
      <c r="H169" s="33">
        <f t="shared" si="4"/>
        <v>4660919.5900000045</v>
      </c>
      <c r="I169" s="328" t="s">
        <v>25</v>
      </c>
    </row>
    <row r="170" spans="2:9" ht="15" thickBot="1">
      <c r="B170" s="10">
        <v>46225</v>
      </c>
      <c r="C170" s="15" t="s">
        <v>264</v>
      </c>
      <c r="D170" s="19">
        <v>1502</v>
      </c>
      <c r="E170" s="30">
        <v>1107322.6100000001</v>
      </c>
      <c r="F170" s="15"/>
      <c r="G170" s="15"/>
      <c r="H170" s="33">
        <f t="shared" si="4"/>
        <v>3553596.9800000042</v>
      </c>
      <c r="I170" s="8" t="s">
        <v>10</v>
      </c>
    </row>
    <row r="171" spans="2:9" ht="15" thickBot="1">
      <c r="B171" s="10">
        <v>46225</v>
      </c>
      <c r="C171" s="15" t="s">
        <v>31</v>
      </c>
      <c r="D171" s="19">
        <v>4.51</v>
      </c>
      <c r="E171" s="30">
        <v>3321.96</v>
      </c>
      <c r="F171" s="15"/>
      <c r="G171" s="15"/>
      <c r="H171" s="33">
        <f t="shared" si="4"/>
        <v>3550275.0200000042</v>
      </c>
      <c r="I171" s="8" t="s">
        <v>25</v>
      </c>
    </row>
    <row r="172" spans="2:9" ht="15" thickBot="1">
      <c r="B172" s="10">
        <v>46225</v>
      </c>
      <c r="C172" s="15" t="s">
        <v>221</v>
      </c>
      <c r="D172" s="19">
        <v>36.51</v>
      </c>
      <c r="E172" s="30">
        <v>26914.55</v>
      </c>
      <c r="F172" s="15"/>
      <c r="G172" s="15"/>
      <c r="H172" s="33">
        <f t="shared" si="4"/>
        <v>3523360.4700000044</v>
      </c>
      <c r="I172" s="8" t="s">
        <v>10</v>
      </c>
    </row>
    <row r="173" spans="2:9" ht="15" thickBot="1">
      <c r="B173" s="139">
        <v>46226</v>
      </c>
      <c r="C173" s="140" t="s">
        <v>274</v>
      </c>
      <c r="D173" s="141"/>
      <c r="E173" s="143"/>
      <c r="F173" s="140">
        <v>42.86</v>
      </c>
      <c r="G173" s="141">
        <v>31624.959999999999</v>
      </c>
      <c r="H173" s="144">
        <f>H172+G173</f>
        <v>3554985.4300000044</v>
      </c>
      <c r="I173" s="145" t="s">
        <v>13</v>
      </c>
    </row>
    <row r="174" spans="2:9" ht="15" thickBot="1">
      <c r="B174" s="139">
        <v>46226</v>
      </c>
      <c r="C174" s="140" t="s">
        <v>275</v>
      </c>
      <c r="D174" s="141"/>
      <c r="E174" s="143"/>
      <c r="F174" s="140">
        <v>20.100000000000001</v>
      </c>
      <c r="G174" s="141">
        <v>14833.15</v>
      </c>
      <c r="H174" s="144">
        <f>H173+G174</f>
        <v>3569818.5800000043</v>
      </c>
      <c r="I174" s="145" t="s">
        <v>13</v>
      </c>
    </row>
    <row r="175" spans="2:9" ht="15" thickBot="1">
      <c r="B175" s="139">
        <v>46226</v>
      </c>
      <c r="C175" s="140" t="s">
        <v>253</v>
      </c>
      <c r="D175" s="141"/>
      <c r="E175" s="143"/>
      <c r="F175" s="140">
        <v>20.100000000000001</v>
      </c>
      <c r="G175" s="141">
        <v>14832.29</v>
      </c>
      <c r="H175" s="144">
        <f>H174+G175</f>
        <v>3584650.8700000043</v>
      </c>
      <c r="I175" s="145" t="s">
        <v>13</v>
      </c>
    </row>
    <row r="176" spans="2:9" ht="15" thickBot="1">
      <c r="B176" s="10">
        <v>46226</v>
      </c>
      <c r="C176" s="298" t="s">
        <v>169</v>
      </c>
      <c r="D176" s="180">
        <v>0.64</v>
      </c>
      <c r="E176" s="180">
        <v>474.37</v>
      </c>
      <c r="F176" s="15"/>
      <c r="G176" s="112"/>
      <c r="H176" s="33">
        <f>H175-E176</f>
        <v>3584176.5000000042</v>
      </c>
      <c r="I176" s="339" t="s">
        <v>25</v>
      </c>
    </row>
    <row r="177" spans="2:9" ht="15" thickBot="1">
      <c r="B177" s="10">
        <v>46226</v>
      </c>
      <c r="C177" s="298" t="s">
        <v>169</v>
      </c>
      <c r="D177" s="180">
        <v>0.3</v>
      </c>
      <c r="E177" s="180">
        <v>222.49</v>
      </c>
      <c r="F177" s="15"/>
      <c r="G177" s="15"/>
      <c r="H177" s="33">
        <f t="shared" ref="H177:H179" si="5">H176-E177</f>
        <v>3583954.010000004</v>
      </c>
      <c r="I177" s="339" t="s">
        <v>25</v>
      </c>
    </row>
    <row r="178" spans="2:9" ht="15" thickBot="1">
      <c r="B178" s="10">
        <v>46226</v>
      </c>
      <c r="C178" s="298" t="s">
        <v>169</v>
      </c>
      <c r="D178" s="180">
        <v>0.3</v>
      </c>
      <c r="E178" s="180">
        <v>222.48</v>
      </c>
      <c r="F178" s="15"/>
      <c r="G178" s="102"/>
      <c r="H178" s="33">
        <f t="shared" si="5"/>
        <v>3583731.530000004</v>
      </c>
      <c r="I178" s="339" t="s">
        <v>25</v>
      </c>
    </row>
    <row r="179" spans="2:9" ht="15" thickBot="1">
      <c r="B179" s="10">
        <v>46226</v>
      </c>
      <c r="C179" s="338" t="s">
        <v>276</v>
      </c>
      <c r="D179" s="180">
        <v>49.9</v>
      </c>
      <c r="E179" s="180">
        <v>36820.29</v>
      </c>
      <c r="F179" s="15"/>
      <c r="G179" s="102"/>
      <c r="H179" s="33">
        <f t="shared" si="5"/>
        <v>3546911.2400000039</v>
      </c>
      <c r="I179" s="339" t="s">
        <v>25</v>
      </c>
    </row>
    <row r="180" spans="2:9" ht="15" thickBot="1">
      <c r="B180" s="139">
        <v>46227</v>
      </c>
      <c r="C180" s="140" t="s">
        <v>255</v>
      </c>
      <c r="D180" s="141"/>
      <c r="E180" s="141"/>
      <c r="F180" s="340">
        <v>26.37</v>
      </c>
      <c r="G180" s="141">
        <v>22275.16</v>
      </c>
      <c r="H180" s="144">
        <f>H179+G180</f>
        <v>3569186.4000000041</v>
      </c>
      <c r="I180" s="145" t="s">
        <v>13</v>
      </c>
    </row>
    <row r="181" spans="2:9" ht="15" thickBot="1">
      <c r="B181" s="139">
        <v>46227</v>
      </c>
      <c r="C181" s="140" t="s">
        <v>278</v>
      </c>
      <c r="D181" s="141"/>
      <c r="E181" s="143"/>
      <c r="F181" s="140">
        <v>8.7899999999999991</v>
      </c>
      <c r="G181" s="141">
        <v>7425.06</v>
      </c>
      <c r="H181" s="144">
        <f>H180+G181</f>
        <v>3576611.4600000042</v>
      </c>
      <c r="I181" s="145" t="s">
        <v>13</v>
      </c>
    </row>
    <row r="182" spans="2:9" ht="15" thickBot="1">
      <c r="B182" s="139">
        <v>46227</v>
      </c>
      <c r="C182" s="140" t="s">
        <v>282</v>
      </c>
      <c r="D182" s="141"/>
      <c r="E182" s="143"/>
      <c r="F182" s="140">
        <v>8.7899999999999991</v>
      </c>
      <c r="G182" s="141">
        <v>7425.06</v>
      </c>
      <c r="H182" s="144">
        <f>H181+G182</f>
        <v>3584036.5200000042</v>
      </c>
      <c r="I182" s="145" t="s">
        <v>13</v>
      </c>
    </row>
    <row r="183" spans="2:9" ht="15" thickBot="1">
      <c r="B183" s="139">
        <v>46227</v>
      </c>
      <c r="C183" s="140" t="s">
        <v>261</v>
      </c>
      <c r="D183" s="141"/>
      <c r="E183" s="143"/>
      <c r="F183" s="140"/>
      <c r="G183" s="141">
        <v>2475.02</v>
      </c>
      <c r="H183" s="144">
        <f>H182+G183</f>
        <v>3586511.5400000042</v>
      </c>
      <c r="I183" s="145"/>
    </row>
    <row r="184" spans="2:9" ht="15" thickBot="1">
      <c r="B184" s="10">
        <v>46227</v>
      </c>
      <c r="C184" s="298" t="s">
        <v>169</v>
      </c>
      <c r="D184" s="19">
        <v>0.4</v>
      </c>
      <c r="E184" s="30">
        <v>334.12</v>
      </c>
      <c r="F184" s="15"/>
      <c r="G184" s="15"/>
      <c r="H184" s="33">
        <f t="shared" ref="H184:H189" si="6">H183-E184</f>
        <v>3586177.4200000041</v>
      </c>
      <c r="I184" s="339" t="s">
        <v>25</v>
      </c>
    </row>
    <row r="185" spans="2:9" ht="15" thickBot="1">
      <c r="B185" s="10">
        <v>46227</v>
      </c>
      <c r="C185" s="298" t="s">
        <v>169</v>
      </c>
      <c r="D185" s="19">
        <v>0.13</v>
      </c>
      <c r="E185" s="30">
        <v>111.37</v>
      </c>
      <c r="F185" s="15"/>
      <c r="G185" s="15"/>
      <c r="H185" s="33">
        <f t="shared" si="6"/>
        <v>3586066.050000004</v>
      </c>
      <c r="I185" s="339" t="s">
        <v>25</v>
      </c>
    </row>
    <row r="186" spans="2:9" ht="15" thickBot="1">
      <c r="B186" s="10">
        <v>46227</v>
      </c>
      <c r="C186" s="298" t="s">
        <v>169</v>
      </c>
      <c r="D186" s="19">
        <v>0.13</v>
      </c>
      <c r="E186" s="30">
        <v>111.37</v>
      </c>
      <c r="F186" s="15"/>
      <c r="G186" s="15"/>
      <c r="H186" s="33">
        <f t="shared" si="6"/>
        <v>3585954.6800000039</v>
      </c>
      <c r="I186" s="339" t="s">
        <v>25</v>
      </c>
    </row>
    <row r="187" spans="2:9" ht="15" thickBot="1">
      <c r="B187" s="10">
        <v>46227</v>
      </c>
      <c r="C187" s="298" t="s">
        <v>169</v>
      </c>
      <c r="D187" s="19">
        <v>0.04</v>
      </c>
      <c r="E187" s="30">
        <v>37.119999999999997</v>
      </c>
      <c r="F187" s="15"/>
      <c r="G187" s="15"/>
      <c r="H187" s="33">
        <f t="shared" si="6"/>
        <v>3585917.5600000038</v>
      </c>
      <c r="I187" s="339" t="s">
        <v>25</v>
      </c>
    </row>
    <row r="188" spans="2:9" ht="15" thickBot="1">
      <c r="B188" s="10">
        <v>46227</v>
      </c>
      <c r="C188" s="341" t="s">
        <v>279</v>
      </c>
      <c r="D188" s="349">
        <v>1439.01</v>
      </c>
      <c r="E188" s="30">
        <v>1217504.6399999999</v>
      </c>
      <c r="F188" s="15"/>
      <c r="G188" s="15"/>
      <c r="H188" s="33">
        <f t="shared" si="6"/>
        <v>2368412.9200000037</v>
      </c>
      <c r="I188" s="342" t="s">
        <v>10</v>
      </c>
    </row>
    <row r="189" spans="2:9" ht="15" thickBot="1">
      <c r="B189" s="10">
        <v>46227</v>
      </c>
      <c r="C189" s="341" t="s">
        <v>31</v>
      </c>
      <c r="D189" s="19">
        <v>4.32</v>
      </c>
      <c r="E189" s="30">
        <v>3652.51</v>
      </c>
      <c r="F189" s="15"/>
      <c r="G189" s="15"/>
      <c r="H189" s="33">
        <f t="shared" si="6"/>
        <v>2364760.4100000039</v>
      </c>
      <c r="I189" s="342"/>
    </row>
    <row r="190" spans="2:9" ht="15" thickBot="1">
      <c r="B190" s="139">
        <v>46228</v>
      </c>
      <c r="C190" s="140" t="s">
        <v>280</v>
      </c>
      <c r="D190" s="141"/>
      <c r="E190" s="143"/>
      <c r="F190" s="140">
        <v>41.12</v>
      </c>
      <c r="G190" s="141">
        <v>34739.279999999999</v>
      </c>
      <c r="H190" s="144">
        <f>H189+G190</f>
        <v>2399499.6900000037</v>
      </c>
      <c r="I190" s="145" t="s">
        <v>13</v>
      </c>
    </row>
    <row r="191" spans="2:9" ht="15" thickBot="1">
      <c r="B191" s="139">
        <v>46228</v>
      </c>
      <c r="C191" s="140" t="s">
        <v>274</v>
      </c>
      <c r="D191" s="141"/>
      <c r="E191" s="143"/>
      <c r="F191" s="140">
        <v>14.69</v>
      </c>
      <c r="G191" s="141">
        <v>12410.04</v>
      </c>
      <c r="H191" s="144">
        <f>H190+G191</f>
        <v>2411909.7300000037</v>
      </c>
      <c r="I191" s="145" t="s">
        <v>13</v>
      </c>
    </row>
    <row r="192" spans="2:9" ht="15" thickBot="1">
      <c r="B192" s="10">
        <v>46228</v>
      </c>
      <c r="C192" s="298" t="s">
        <v>169</v>
      </c>
      <c r="D192" s="19">
        <v>0.62</v>
      </c>
      <c r="E192" s="30">
        <v>521.08000000000004</v>
      </c>
      <c r="F192" s="15"/>
      <c r="G192" s="15"/>
      <c r="H192" s="33">
        <f>H191-E192</f>
        <v>2411388.6500000036</v>
      </c>
      <c r="I192" s="342" t="s">
        <v>25</v>
      </c>
    </row>
    <row r="193" spans="2:9" ht="15" thickBot="1">
      <c r="B193" s="10">
        <v>46228</v>
      </c>
      <c r="C193" s="298" t="s">
        <v>169</v>
      </c>
      <c r="D193" s="19">
        <v>0.22</v>
      </c>
      <c r="E193" s="30">
        <v>186.15</v>
      </c>
      <c r="F193" s="15"/>
      <c r="G193" s="15"/>
      <c r="H193" s="33">
        <f>H192-E193</f>
        <v>2411202.5000000037</v>
      </c>
      <c r="I193" s="342" t="s">
        <v>25</v>
      </c>
    </row>
    <row r="194" spans="2:9" ht="15" thickBot="1">
      <c r="B194" s="139">
        <v>46229</v>
      </c>
      <c r="C194" s="140" t="s">
        <v>281</v>
      </c>
      <c r="D194" s="141"/>
      <c r="E194" s="143"/>
      <c r="F194" s="140">
        <v>55.82</v>
      </c>
      <c r="G194" s="141">
        <v>47158.13</v>
      </c>
      <c r="H194" s="144">
        <f>H193+G194</f>
        <v>2458360.6300000036</v>
      </c>
      <c r="I194" s="145" t="s">
        <v>13</v>
      </c>
    </row>
    <row r="195" spans="2:9" ht="15" thickBot="1">
      <c r="B195" s="139">
        <v>46229</v>
      </c>
      <c r="C195" s="140" t="s">
        <v>282</v>
      </c>
      <c r="D195" s="141"/>
      <c r="E195" s="143"/>
      <c r="F195" s="140">
        <v>23.5</v>
      </c>
      <c r="G195" s="141">
        <v>19849.07</v>
      </c>
      <c r="H195" s="144">
        <f>H194+G195</f>
        <v>2478209.7000000034</v>
      </c>
      <c r="I195" s="145" t="s">
        <v>13</v>
      </c>
    </row>
    <row r="196" spans="2:9" ht="15" thickBot="1">
      <c r="B196" s="10">
        <v>46229</v>
      </c>
      <c r="C196" s="298" t="s">
        <v>169</v>
      </c>
      <c r="D196" s="19">
        <v>0.84</v>
      </c>
      <c r="E196" s="30">
        <v>707.37</v>
      </c>
      <c r="F196" s="15"/>
      <c r="G196" s="15"/>
      <c r="H196" s="33">
        <f>H195-E196</f>
        <v>2477502.3300000033</v>
      </c>
      <c r="I196" s="342" t="s">
        <v>25</v>
      </c>
    </row>
    <row r="197" spans="2:9" ht="15" thickBot="1">
      <c r="B197" s="10">
        <v>46229</v>
      </c>
      <c r="C197" s="298" t="s">
        <v>169</v>
      </c>
      <c r="D197" s="19">
        <v>0.35</v>
      </c>
      <c r="E197" s="30">
        <v>297.73</v>
      </c>
      <c r="F197" s="15"/>
      <c r="G197" s="15"/>
      <c r="H197" s="33">
        <f>H196-E197</f>
        <v>2477204.6000000034</v>
      </c>
      <c r="I197" s="342" t="s">
        <v>25</v>
      </c>
    </row>
    <row r="198" spans="2:9" ht="15" thickBot="1">
      <c r="B198" s="139">
        <v>46230</v>
      </c>
      <c r="C198" s="140" t="s">
        <v>283</v>
      </c>
      <c r="D198" s="141"/>
      <c r="E198" s="143"/>
      <c r="F198" s="140">
        <v>11.75</v>
      </c>
      <c r="G198" s="141">
        <v>9928.0300000000007</v>
      </c>
      <c r="H198" s="144">
        <f>H197+G198</f>
        <v>2487132.6300000031</v>
      </c>
      <c r="I198" s="145" t="s">
        <v>13</v>
      </c>
    </row>
    <row r="199" spans="2:9" ht="15" thickBot="1">
      <c r="B199" s="139">
        <v>46230</v>
      </c>
      <c r="C199" s="140" t="s">
        <v>280</v>
      </c>
      <c r="D199" s="141"/>
      <c r="E199" s="143"/>
      <c r="F199" s="140">
        <v>10.039999999999999</v>
      </c>
      <c r="G199" s="141">
        <v>2482.0100000000002</v>
      </c>
      <c r="H199" s="144">
        <f>H198+G199</f>
        <v>2489614.6400000029</v>
      </c>
      <c r="I199" s="145" t="s">
        <v>13</v>
      </c>
    </row>
    <row r="200" spans="2:9" ht="15" thickBot="1">
      <c r="B200" s="10">
        <v>46230</v>
      </c>
      <c r="C200" s="298" t="s">
        <v>169</v>
      </c>
      <c r="D200" s="19">
        <v>0.18</v>
      </c>
      <c r="E200" s="30">
        <v>148.91999999999999</v>
      </c>
      <c r="F200" s="15"/>
      <c r="G200" s="15"/>
      <c r="H200" s="20">
        <f>H199-E200</f>
        <v>2489465.720000003</v>
      </c>
      <c r="I200" s="342" t="s">
        <v>25</v>
      </c>
    </row>
    <row r="201" spans="2:9" ht="15" thickBot="1">
      <c r="B201" s="10">
        <v>46230</v>
      </c>
      <c r="C201" s="298" t="s">
        <v>169</v>
      </c>
      <c r="D201" s="19">
        <v>0.04</v>
      </c>
      <c r="E201" s="30">
        <v>37.229999999999997</v>
      </c>
      <c r="F201" s="15"/>
      <c r="G201" s="15"/>
      <c r="H201" s="33">
        <f>H200-E201</f>
        <v>2489428.490000003</v>
      </c>
      <c r="I201" s="342" t="s">
        <v>25</v>
      </c>
    </row>
    <row r="202" spans="2:9" ht="15" thickBot="1">
      <c r="B202" s="139">
        <v>46230</v>
      </c>
      <c r="C202" s="140" t="s">
        <v>284</v>
      </c>
      <c r="D202" s="141"/>
      <c r="E202" s="143"/>
      <c r="F202" s="140">
        <v>35.11</v>
      </c>
      <c r="G202" s="141">
        <v>29660</v>
      </c>
      <c r="H202" s="144">
        <f>H201+G202</f>
        <v>2519088.490000003</v>
      </c>
      <c r="I202" s="145" t="s">
        <v>285</v>
      </c>
    </row>
    <row r="203" spans="2:9" ht="15" thickBot="1">
      <c r="B203" s="10">
        <v>46230</v>
      </c>
      <c r="C203" s="338" t="s">
        <v>276</v>
      </c>
      <c r="D203" s="19">
        <v>43.84</v>
      </c>
      <c r="E203" s="30">
        <v>37037.25</v>
      </c>
      <c r="F203" s="15"/>
      <c r="G203" s="15"/>
      <c r="H203" s="33">
        <f>H202-E203</f>
        <v>2482051.240000003</v>
      </c>
      <c r="I203" s="342" t="s">
        <v>25</v>
      </c>
    </row>
    <row r="204" spans="2:9" ht="15" thickBot="1">
      <c r="B204" s="139">
        <v>46231</v>
      </c>
      <c r="C204" s="140" t="s">
        <v>281</v>
      </c>
      <c r="D204" s="141"/>
      <c r="E204" s="143"/>
      <c r="F204" s="140">
        <v>29.38</v>
      </c>
      <c r="G204" s="141">
        <v>24820.07</v>
      </c>
      <c r="H204" s="144">
        <f>H203+G204</f>
        <v>2506871.3100000028</v>
      </c>
      <c r="I204" s="145" t="s">
        <v>13</v>
      </c>
    </row>
    <row r="205" spans="2:9" ht="15" thickBot="1">
      <c r="B205" s="139">
        <v>46231</v>
      </c>
      <c r="C205" s="140" t="s">
        <v>286</v>
      </c>
      <c r="D205" s="141"/>
      <c r="E205" s="143"/>
      <c r="F205" s="140">
        <v>23.51</v>
      </c>
      <c r="G205" s="141">
        <v>19856.060000000001</v>
      </c>
      <c r="H205" s="144">
        <f>H204+G205</f>
        <v>2526727.3700000029</v>
      </c>
      <c r="I205" s="145" t="s">
        <v>13</v>
      </c>
    </row>
    <row r="206" spans="2:9" ht="15" thickBot="1">
      <c r="B206" s="139">
        <v>46231</v>
      </c>
      <c r="C206" s="140" t="s">
        <v>287</v>
      </c>
      <c r="D206" s="141"/>
      <c r="E206" s="143"/>
      <c r="F206" s="140">
        <v>20.65</v>
      </c>
      <c r="G206" s="141">
        <v>17442.36</v>
      </c>
      <c r="H206" s="144">
        <f>H205+G206</f>
        <v>2544169.7300000028</v>
      </c>
      <c r="I206" s="145" t="s">
        <v>13</v>
      </c>
    </row>
    <row r="207" spans="2:9" ht="15" thickBot="1">
      <c r="B207" s="10">
        <v>46231</v>
      </c>
      <c r="C207" s="298" t="s">
        <v>169</v>
      </c>
      <c r="D207" s="19">
        <v>0.44</v>
      </c>
      <c r="E207" s="30">
        <v>372.3</v>
      </c>
      <c r="F207" s="15"/>
      <c r="G207" s="15"/>
      <c r="H207" s="33">
        <f>H206-E207</f>
        <v>2543797.430000003</v>
      </c>
      <c r="I207" s="342" t="s">
        <v>25</v>
      </c>
    </row>
    <row r="208" spans="2:9" ht="15" thickBot="1">
      <c r="B208" s="10">
        <v>46231</v>
      </c>
      <c r="C208" s="298" t="s">
        <v>169</v>
      </c>
      <c r="D208" s="19">
        <v>0.35</v>
      </c>
      <c r="E208" s="30">
        <v>297.83999999999997</v>
      </c>
      <c r="F208" s="15"/>
      <c r="G208" s="15"/>
      <c r="H208" s="33">
        <f>H207-E208</f>
        <v>2543499.5900000031</v>
      </c>
      <c r="I208" s="342" t="s">
        <v>25</v>
      </c>
    </row>
    <row r="209" spans="2:9" ht="15" thickBot="1">
      <c r="B209" s="343">
        <v>46231</v>
      </c>
      <c r="C209" s="298" t="s">
        <v>169</v>
      </c>
      <c r="D209" s="19">
        <v>0.31</v>
      </c>
      <c r="E209" s="30">
        <v>261.63</v>
      </c>
      <c r="F209" s="15"/>
      <c r="G209" s="15"/>
      <c r="H209" s="33">
        <f>H208-E209</f>
        <v>2543237.9600000032</v>
      </c>
      <c r="I209" s="342" t="s">
        <v>25</v>
      </c>
    </row>
    <row r="210" spans="2:9" ht="15" thickBot="1">
      <c r="B210" s="10">
        <v>46231</v>
      </c>
      <c r="C210" s="341" t="s">
        <v>288</v>
      </c>
      <c r="D210" s="19">
        <v>8.91</v>
      </c>
      <c r="E210" s="30">
        <v>7524.67</v>
      </c>
      <c r="F210" s="15"/>
      <c r="G210" s="15"/>
      <c r="H210" s="33">
        <f>H209-E210</f>
        <v>2535713.2900000033</v>
      </c>
      <c r="I210" s="342" t="s">
        <v>13</v>
      </c>
    </row>
    <row r="211" spans="2:9" ht="15" thickBot="1">
      <c r="B211" s="139">
        <v>46231</v>
      </c>
      <c r="C211" s="140" t="s">
        <v>110</v>
      </c>
      <c r="D211" s="141"/>
      <c r="E211" s="143"/>
      <c r="F211" s="141">
        <v>3516.14</v>
      </c>
      <c r="G211" s="141">
        <v>2974917.22</v>
      </c>
      <c r="H211" s="144">
        <f>H210+G211</f>
        <v>5510630.5100000035</v>
      </c>
      <c r="I211" s="145" t="s">
        <v>10</v>
      </c>
    </row>
    <row r="212" spans="2:9" ht="15" thickBot="1">
      <c r="B212" s="10">
        <v>46231</v>
      </c>
      <c r="C212" s="345" t="s">
        <v>34</v>
      </c>
      <c r="D212" s="19">
        <v>16.29</v>
      </c>
      <c r="E212" s="30">
        <v>13786.55</v>
      </c>
      <c r="F212" s="102"/>
      <c r="G212" s="15"/>
      <c r="H212" s="33">
        <f>H211-E212</f>
        <v>5496843.9600000037</v>
      </c>
      <c r="I212" s="346" t="s">
        <v>10</v>
      </c>
    </row>
    <row r="213" spans="2:9" ht="15" thickBot="1">
      <c r="B213" s="10">
        <v>46231</v>
      </c>
      <c r="C213" s="345" t="s">
        <v>31</v>
      </c>
      <c r="D213" s="19">
        <v>0.05</v>
      </c>
      <c r="E213" s="30">
        <v>41.35</v>
      </c>
      <c r="F213" s="15"/>
      <c r="G213" s="15"/>
      <c r="H213" s="33">
        <f>H212-E213</f>
        <v>5496802.6100000041</v>
      </c>
      <c r="I213" s="346" t="s">
        <v>25</v>
      </c>
    </row>
    <row r="214" spans="2:9" ht="15" thickBot="1">
      <c r="B214" s="10">
        <v>46231</v>
      </c>
      <c r="C214" s="345" t="s">
        <v>289</v>
      </c>
      <c r="D214" s="19">
        <v>877.95</v>
      </c>
      <c r="E214" s="30">
        <v>742810.5</v>
      </c>
      <c r="F214" s="15"/>
      <c r="G214" s="15"/>
      <c r="H214" s="33">
        <f>H213-E214</f>
        <v>4753992.1100000041</v>
      </c>
      <c r="I214" s="347" t="s">
        <v>10</v>
      </c>
    </row>
    <row r="215" spans="2:9" ht="15" thickBot="1">
      <c r="B215" s="10">
        <v>46231</v>
      </c>
      <c r="C215" s="348" t="s">
        <v>31</v>
      </c>
      <c r="D215" s="19">
        <v>2.63</v>
      </c>
      <c r="E215" s="30">
        <v>2228.4299999999998</v>
      </c>
      <c r="F215" s="15"/>
      <c r="G215" s="15"/>
      <c r="H215" s="33">
        <f>H214-E215</f>
        <v>4751763.6800000044</v>
      </c>
      <c r="I215" s="347" t="s">
        <v>25</v>
      </c>
    </row>
    <row r="216" spans="2:9" ht="15" thickBot="1">
      <c r="B216" s="139">
        <v>46232</v>
      </c>
      <c r="C216" s="140" t="s">
        <v>283</v>
      </c>
      <c r="D216" s="141"/>
      <c r="E216" s="143"/>
      <c r="F216" s="140">
        <v>32.29</v>
      </c>
      <c r="G216" s="141">
        <v>27319.33</v>
      </c>
      <c r="H216" s="144">
        <f>H215+G216</f>
        <v>4779083.0100000044</v>
      </c>
      <c r="I216" s="145" t="s">
        <v>13</v>
      </c>
    </row>
    <row r="217" spans="2:9" ht="15" thickBot="1">
      <c r="B217" s="139">
        <v>46232</v>
      </c>
      <c r="C217" s="140" t="s">
        <v>290</v>
      </c>
      <c r="D217" s="141"/>
      <c r="E217" s="143"/>
      <c r="F217" s="140">
        <v>20.55</v>
      </c>
      <c r="G217" s="141">
        <v>17385.419999999998</v>
      </c>
      <c r="H217" s="144">
        <f t="shared" ref="H217:H218" si="7">H216+G217</f>
        <v>4796468.4300000044</v>
      </c>
      <c r="I217" s="145" t="s">
        <v>13</v>
      </c>
    </row>
    <row r="218" spans="2:9" ht="15" thickBot="1">
      <c r="B218" s="139">
        <v>46232</v>
      </c>
      <c r="C218" s="140" t="s">
        <v>291</v>
      </c>
      <c r="D218" s="141"/>
      <c r="E218" s="143"/>
      <c r="F218" s="140">
        <v>5.87</v>
      </c>
      <c r="G218" s="141">
        <v>4965.92</v>
      </c>
      <c r="H218" s="144">
        <f t="shared" si="7"/>
        <v>4801434.3500000043</v>
      </c>
      <c r="I218" s="145" t="s">
        <v>13</v>
      </c>
    </row>
    <row r="219" spans="2:9" ht="15" thickBot="1">
      <c r="B219" s="10">
        <v>46232</v>
      </c>
      <c r="C219" s="298" t="s">
        <v>169</v>
      </c>
      <c r="D219" s="19">
        <v>0.48</v>
      </c>
      <c r="E219" s="30">
        <v>409.78</v>
      </c>
      <c r="F219" s="15"/>
      <c r="G219" s="15"/>
      <c r="H219" s="33">
        <f>H218-E219</f>
        <v>4801024.570000004</v>
      </c>
      <c r="I219" s="347" t="s">
        <v>25</v>
      </c>
    </row>
    <row r="220" spans="2:9" ht="15" thickBot="1">
      <c r="B220" s="10">
        <v>46232</v>
      </c>
      <c r="C220" s="298" t="s">
        <v>169</v>
      </c>
      <c r="D220" s="19">
        <v>0.31</v>
      </c>
      <c r="E220" s="30">
        <v>260.77999999999997</v>
      </c>
      <c r="F220" s="15"/>
      <c r="G220" s="15"/>
      <c r="H220" s="33">
        <f t="shared" ref="H220:H221" si="8">H219-E220</f>
        <v>4800763.7900000038</v>
      </c>
      <c r="I220" s="347" t="s">
        <v>25</v>
      </c>
    </row>
    <row r="221" spans="2:9" ht="15" thickBot="1">
      <c r="B221" s="10">
        <v>46232</v>
      </c>
      <c r="C221" s="298" t="s">
        <v>169</v>
      </c>
      <c r="D221" s="19">
        <v>0.09</v>
      </c>
      <c r="E221" s="30">
        <v>74.48</v>
      </c>
      <c r="F221" s="15"/>
      <c r="G221" s="15"/>
      <c r="H221" s="33">
        <f t="shared" si="8"/>
        <v>4800689.3100000033</v>
      </c>
      <c r="I221" s="347" t="s">
        <v>25</v>
      </c>
    </row>
    <row r="222" spans="2:9" ht="15" thickBot="1">
      <c r="B222" s="10">
        <v>46232</v>
      </c>
      <c r="C222" s="348" t="s">
        <v>292</v>
      </c>
      <c r="D222" s="19">
        <v>439.8</v>
      </c>
      <c r="E222" s="30">
        <v>372115</v>
      </c>
      <c r="F222" s="15"/>
      <c r="G222" s="15"/>
      <c r="H222" s="33">
        <f>H221-E222</f>
        <v>4428574.3100000033</v>
      </c>
      <c r="I222" s="347" t="s">
        <v>10</v>
      </c>
    </row>
    <row r="223" spans="2:9" ht="15" thickBot="1">
      <c r="B223" s="10">
        <v>46232</v>
      </c>
      <c r="C223" s="348" t="s">
        <v>31</v>
      </c>
      <c r="D223" s="19">
        <v>1.32</v>
      </c>
      <c r="E223" s="30">
        <v>1116.3399999999999</v>
      </c>
      <c r="F223" s="15"/>
      <c r="G223" s="15"/>
      <c r="H223" s="33">
        <f>H222-E223</f>
        <v>4427457.9700000035</v>
      </c>
      <c r="I223" s="347" t="s">
        <v>25</v>
      </c>
    </row>
    <row r="224" spans="2:9" ht="15" thickBot="1">
      <c r="B224" s="139">
        <v>46233</v>
      </c>
      <c r="C224" s="140" t="s">
        <v>293</v>
      </c>
      <c r="D224" s="141"/>
      <c r="E224" s="143"/>
      <c r="F224" s="140">
        <v>40.44</v>
      </c>
      <c r="G224" s="141">
        <v>34824.379999999997</v>
      </c>
      <c r="H224" s="144">
        <f>H223+G224</f>
        <v>4462282.3500000034</v>
      </c>
      <c r="I224" s="145" t="s">
        <v>13</v>
      </c>
    </row>
    <row r="225" spans="2:9" ht="15" thickBot="1">
      <c r="B225" s="139">
        <v>46233</v>
      </c>
      <c r="C225" s="140" t="s">
        <v>294</v>
      </c>
      <c r="D225" s="141"/>
      <c r="E225" s="143"/>
      <c r="F225" s="140">
        <v>8.66</v>
      </c>
      <c r="G225" s="141">
        <v>7458.49</v>
      </c>
      <c r="H225" s="144">
        <f>H224+G225</f>
        <v>4469740.8400000036</v>
      </c>
      <c r="I225" s="145" t="s">
        <v>13</v>
      </c>
    </row>
    <row r="226" spans="2:9" ht="15" thickBot="1">
      <c r="B226" s="139">
        <v>46233</v>
      </c>
      <c r="C226" s="140" t="s">
        <v>295</v>
      </c>
      <c r="D226" s="141"/>
      <c r="E226" s="143"/>
      <c r="F226" s="140">
        <v>5.77</v>
      </c>
      <c r="G226" s="141">
        <v>4969.8</v>
      </c>
      <c r="H226" s="144">
        <f>H225+G226</f>
        <v>4474710.6400000034</v>
      </c>
      <c r="I226" s="145" t="s">
        <v>13</v>
      </c>
    </row>
    <row r="227" spans="2:9" ht="15" thickBot="1">
      <c r="B227" s="10">
        <v>46233</v>
      </c>
      <c r="C227" s="15" t="s">
        <v>169</v>
      </c>
      <c r="D227" s="19">
        <v>0.61</v>
      </c>
      <c r="E227" s="30">
        <v>522.36</v>
      </c>
      <c r="F227" s="15"/>
      <c r="G227" s="15"/>
      <c r="H227" s="33">
        <f>H226-E227</f>
        <v>4474188.2800000031</v>
      </c>
      <c r="I227" s="8" t="s">
        <v>25</v>
      </c>
    </row>
    <row r="228" spans="2:9" ht="15" thickBot="1">
      <c r="B228" s="10">
        <v>46233</v>
      </c>
      <c r="C228" s="15" t="s">
        <v>169</v>
      </c>
      <c r="D228" s="19">
        <v>0.13</v>
      </c>
      <c r="E228" s="30">
        <v>111.87</v>
      </c>
      <c r="F228" s="15"/>
      <c r="G228" s="15"/>
      <c r="H228" s="33">
        <f t="shared" ref="H228:H229" si="9">H227-E228</f>
        <v>4474076.4100000029</v>
      </c>
      <c r="I228" s="8" t="s">
        <v>25</v>
      </c>
    </row>
    <row r="229" spans="2:9" ht="15" thickBot="1">
      <c r="B229" s="10">
        <v>46233</v>
      </c>
      <c r="C229" s="15" t="s">
        <v>169</v>
      </c>
      <c r="D229" s="19">
        <v>0.09</v>
      </c>
      <c r="E229" s="30">
        <v>74.540000000000006</v>
      </c>
      <c r="F229" s="15"/>
      <c r="G229" s="15"/>
      <c r="H229" s="33">
        <f t="shared" si="9"/>
        <v>4474001.8700000029</v>
      </c>
      <c r="I229" s="8" t="s">
        <v>25</v>
      </c>
    </row>
    <row r="230" spans="2:9" ht="15" thickBot="1">
      <c r="B230" s="139">
        <v>46234</v>
      </c>
      <c r="C230" s="140" t="s">
        <v>296</v>
      </c>
      <c r="D230" s="141"/>
      <c r="E230" s="143"/>
      <c r="F230" s="140">
        <v>20.28</v>
      </c>
      <c r="G230" s="141">
        <v>17468.86</v>
      </c>
      <c r="H230" s="144">
        <f>H229+G230</f>
        <v>4491470.7300000032</v>
      </c>
      <c r="I230" s="145" t="s">
        <v>13</v>
      </c>
    </row>
    <row r="231" spans="2:9" ht="15" thickBot="1">
      <c r="B231" s="139">
        <v>46234</v>
      </c>
      <c r="C231" s="140" t="s">
        <v>298</v>
      </c>
      <c r="D231" s="141"/>
      <c r="E231" s="143"/>
      <c r="F231" s="140">
        <v>17.39</v>
      </c>
      <c r="G231" s="141">
        <v>14973.31</v>
      </c>
      <c r="H231" s="144">
        <f t="shared" ref="H231:H232" si="10">H230+G231</f>
        <v>4506444.0400000028</v>
      </c>
      <c r="I231" s="145" t="s">
        <v>13</v>
      </c>
    </row>
    <row r="232" spans="2:9" ht="15" thickBot="1">
      <c r="B232" s="139">
        <v>46234</v>
      </c>
      <c r="C232" s="140" t="s">
        <v>297</v>
      </c>
      <c r="D232" s="141"/>
      <c r="E232" s="143"/>
      <c r="F232" s="140">
        <v>14.92</v>
      </c>
      <c r="G232" s="141">
        <v>12489.12</v>
      </c>
      <c r="H232" s="144">
        <f t="shared" si="10"/>
        <v>4518933.1600000029</v>
      </c>
      <c r="I232" s="145" t="s">
        <v>13</v>
      </c>
    </row>
    <row r="233" spans="2:9" ht="15" thickBot="1">
      <c r="B233" s="10">
        <v>46234</v>
      </c>
      <c r="C233" s="15" t="s">
        <v>169</v>
      </c>
      <c r="D233" s="19">
        <v>0.3</v>
      </c>
      <c r="E233" s="30">
        <v>262.02999999999997</v>
      </c>
      <c r="F233" s="15"/>
      <c r="G233" s="15"/>
      <c r="H233" s="33">
        <f>H232-E233</f>
        <v>4518671.1300000027</v>
      </c>
      <c r="I233" s="351" t="s">
        <v>25</v>
      </c>
    </row>
    <row r="234" spans="2:9" ht="15" thickBot="1">
      <c r="B234" s="350">
        <v>46234</v>
      </c>
      <c r="C234" s="15" t="s">
        <v>169</v>
      </c>
      <c r="D234" s="19">
        <v>0.26</v>
      </c>
      <c r="E234" s="30">
        <v>224.59</v>
      </c>
      <c r="F234" s="15"/>
      <c r="G234" s="15"/>
      <c r="H234" s="33">
        <f t="shared" ref="H234:H235" si="11">H233-E234</f>
        <v>4518446.5400000028</v>
      </c>
      <c r="I234" s="351" t="s">
        <v>25</v>
      </c>
    </row>
    <row r="235" spans="2:9" ht="15" thickBot="1">
      <c r="B235" s="10">
        <v>46265</v>
      </c>
      <c r="C235" s="15" t="s">
        <v>169</v>
      </c>
      <c r="D235" s="19">
        <v>0.22</v>
      </c>
      <c r="E235" s="30">
        <v>187.33</v>
      </c>
      <c r="F235" s="15"/>
      <c r="G235" s="15"/>
      <c r="H235" s="33">
        <f t="shared" si="11"/>
        <v>4518259.2100000028</v>
      </c>
      <c r="I235" s="351" t="s">
        <v>25</v>
      </c>
    </row>
    <row r="236" spans="2:9" ht="15" thickBot="1">
      <c r="B236" s="10">
        <v>46265</v>
      </c>
      <c r="C236" s="352" t="s">
        <v>299</v>
      </c>
      <c r="D236" s="180">
        <v>1416.76</v>
      </c>
      <c r="E236" s="180">
        <v>1220065.32</v>
      </c>
      <c r="F236" s="91"/>
      <c r="G236" s="91"/>
      <c r="H236" s="33">
        <f t="shared" ref="H236:H242" si="12">H235-E236</f>
        <v>3298193.8900000025</v>
      </c>
      <c r="I236" s="351" t="s">
        <v>10</v>
      </c>
    </row>
    <row r="237" spans="2:9" ht="15" thickBot="1">
      <c r="B237" s="10">
        <v>46265</v>
      </c>
      <c r="C237" s="348" t="s">
        <v>31</v>
      </c>
      <c r="D237" s="180">
        <v>4.25</v>
      </c>
      <c r="E237" s="204">
        <v>3660.19</v>
      </c>
      <c r="F237" s="15"/>
      <c r="G237" s="15"/>
      <c r="H237" s="33">
        <f t="shared" si="12"/>
        <v>3294533.7000000025</v>
      </c>
      <c r="I237" s="351" t="s">
        <v>25</v>
      </c>
    </row>
    <row r="238" spans="2:9" ht="15" thickBot="1">
      <c r="B238" s="350" t="s">
        <v>300</v>
      </c>
      <c r="C238" s="352" t="s">
        <v>301</v>
      </c>
      <c r="D238" s="180">
        <v>1416.76</v>
      </c>
      <c r="E238" s="180">
        <v>1220065.32</v>
      </c>
      <c r="F238" s="15"/>
      <c r="G238" s="15"/>
      <c r="H238" s="33">
        <f t="shared" si="12"/>
        <v>2074468.3800000024</v>
      </c>
      <c r="I238" s="351" t="s">
        <v>10</v>
      </c>
    </row>
    <row r="239" spans="2:9" ht="15" thickBot="1">
      <c r="B239" s="10">
        <v>46265</v>
      </c>
      <c r="C239" s="348" t="s">
        <v>31</v>
      </c>
      <c r="D239" s="19">
        <v>4.25</v>
      </c>
      <c r="E239" s="30">
        <v>3660.19</v>
      </c>
      <c r="F239" s="15"/>
      <c r="G239" s="15"/>
      <c r="H239" s="33">
        <f t="shared" si="12"/>
        <v>2070808.1900000025</v>
      </c>
      <c r="I239" s="351" t="s">
        <v>25</v>
      </c>
    </row>
    <row r="240" spans="2:9" ht="15" thickBot="1">
      <c r="B240" s="10">
        <v>46265</v>
      </c>
      <c r="C240" s="15" t="s">
        <v>302</v>
      </c>
      <c r="D240" s="19">
        <v>0</v>
      </c>
      <c r="E240" s="30">
        <v>0.1</v>
      </c>
      <c r="F240" s="15"/>
      <c r="G240" s="15"/>
      <c r="H240" s="33">
        <f t="shared" si="12"/>
        <v>2070808.0900000024</v>
      </c>
      <c r="I240" s="8" t="s">
        <v>25</v>
      </c>
    </row>
    <row r="241" spans="2:9" ht="15" thickBot="1">
      <c r="B241" s="10">
        <v>46265</v>
      </c>
      <c r="C241" s="15" t="s">
        <v>303</v>
      </c>
      <c r="D241" s="19">
        <v>0.01</v>
      </c>
      <c r="E241" s="30">
        <v>8</v>
      </c>
      <c r="F241" s="15"/>
      <c r="G241" s="15"/>
      <c r="H241" s="33">
        <f t="shared" si="12"/>
        <v>2070800.0900000024</v>
      </c>
      <c r="I241" s="8" t="s">
        <v>25</v>
      </c>
    </row>
    <row r="242" spans="2:9" ht="15" thickBot="1">
      <c r="B242" s="10">
        <v>46265</v>
      </c>
      <c r="C242" s="15" t="s">
        <v>162</v>
      </c>
      <c r="D242" s="19">
        <v>0.01</v>
      </c>
      <c r="E242" s="30">
        <v>8</v>
      </c>
      <c r="F242" s="15"/>
      <c r="G242" s="15"/>
      <c r="H242" s="33">
        <f t="shared" si="12"/>
        <v>2070792.0900000024</v>
      </c>
      <c r="I242" s="8" t="s">
        <v>25</v>
      </c>
    </row>
    <row r="243" spans="2:9" ht="15" thickBot="1">
      <c r="B243" s="10"/>
      <c r="C243" s="15"/>
      <c r="D243" s="19"/>
      <c r="E243" s="30"/>
      <c r="F243" s="15"/>
      <c r="G243" s="15"/>
      <c r="H243" s="33"/>
      <c r="I243" s="8"/>
    </row>
    <row r="244" spans="2:9" ht="21.5" thickBot="1">
      <c r="B244" s="10"/>
      <c r="C244" s="353" t="s">
        <v>304</v>
      </c>
      <c r="D244" s="43">
        <f>D6+D8+D9+D10+D11+D14+D15+D16+D22+D23+D24+D25+D26+D30+D29+D33+D34+D37+D38+D40+D41+D46+D47+D48+D52+D53+D55+D56+D57+D58+D59+D60+D62++D61+D65+D66+D69+D70+D71+D73+D74+D75+D76+D77+D80+D81+D84+D85+D88+D89+D90+D91+D93+D94+D99+D100+D101+D102+D103+D104+D105+D106+D107+D108+D109+D110+D111+D112+D113+D117+D118+D119+D120+D121++D126+D127+D128+D131+D132+D133+D134+D138+D139+D140++D143+D144+D147+D148+D152++D153+D154+D155+D156+D157+D158+D159+D160++D161+D162++D167+D168+D169+D170+D171+D172+D176+D177+D178+D179++D184+D185+D186+D187+D188+D189+D192+D193+D196+D197+D200+D201+D203++D207+D208+D209+D210+D212+D213+D214+D215+D219+D220+D221+D222+D223++D227+D228+D229+D233+D234+D235+D236+D237+D238+D239+D241+D242</f>
        <v>18466.559999999994</v>
      </c>
      <c r="E244" s="354">
        <f>E4+E6+E8+E9+E10+E11+E14+E15+E16+E19+E20+E22+E23+E24+E25+E26+E29+E30+E33+E34+E37+E38+E40+E41+E46+E47+E48+E49+E52+E53+E55+E56+E57+E58+E59+E60+E61+E62+E65+E66+E69+E70+E71+E73+E74+E75+E76++E77+E80+E81+E84+E85+E88+E89+E90+E91+E93+E94+E99+E100+E101+E102+E103+E104+E105+E106+E107+E108+E109+E110+E111+E112+E117+E118++E113+E119+E120+E121++E126+E127+E128+E131+E132+E133+E134+E138+E139+E140+E143+E144+E147+E148+E152+E153+E154+E155+E156+E157+E158+E159++E160+E161+E162+E168+E169+E170+E171+E172+E176+E177+E178+E184+E185+E186+E187+E188+E189++E192+E193+E196+E197+E200+E201++E203+E207+E208+E209+E210+E212++E213+E214+E215+E219+E220+E221+E222+E223+E227+E228+E229+E233+E234+++E235+E236+E237+E238+E239+E240+E241+E242</f>
        <v>14995059.542999996</v>
      </c>
      <c r="F244" s="355">
        <f>SUM(F4:F243)</f>
        <v>19653.37</v>
      </c>
      <c r="G244" s="356">
        <f>G5+G7+G12+G13+G17+G18+G21+G27+G28+G31+G32+G35+G36+G39+G42+G43+G44+G45+G50+G51+G54+G63</f>
        <v>3058951.6829999997</v>
      </c>
      <c r="H244" s="16">
        <v>2070792.09</v>
      </c>
      <c r="I244" s="8"/>
    </row>
  </sheetData>
  <pageMargins left="0.7" right="0.7" top="0.75" bottom="0.75" header="0.3" footer="0.3"/>
  <pageSetup scale="82" orientation="landscape" horizontalDpi="0" verticalDpi="0" r:id="rId1"/>
  <colBreaks count="1" manualBreakCount="1">
    <brk id="9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8"/>
  <sheetViews>
    <sheetView topLeftCell="A308" zoomScaleNormal="100" workbookViewId="0">
      <selection activeCell="C330" sqref="C330"/>
    </sheetView>
  </sheetViews>
  <sheetFormatPr baseColWidth="10" defaultRowHeight="14.5"/>
  <cols>
    <col min="1" max="1" width="6.1796875" customWidth="1"/>
    <col min="2" max="2" width="12.7265625" customWidth="1"/>
    <col min="3" max="3" width="51.7265625" customWidth="1"/>
    <col min="4" max="4" width="15.1796875" bestFit="1" customWidth="1"/>
    <col min="5" max="5" width="21.7265625" customWidth="1"/>
    <col min="6" max="6" width="15.1796875" bestFit="1" customWidth="1"/>
    <col min="7" max="7" width="20.81640625" customWidth="1"/>
    <col min="8" max="8" width="19.453125" bestFit="1" customWidth="1"/>
    <col min="9" max="9" width="16.26953125" customWidth="1"/>
  </cols>
  <sheetData>
    <row r="1" spans="2:9" ht="15" thickBot="1"/>
    <row r="2" spans="2:9" ht="72.75" customHeight="1" thickBot="1">
      <c r="B2" s="1"/>
      <c r="C2" s="2"/>
      <c r="D2" s="2" t="s">
        <v>75</v>
      </c>
      <c r="E2" s="2"/>
      <c r="F2" s="2"/>
      <c r="G2" s="2"/>
      <c r="H2" s="2" t="s">
        <v>401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10">
        <v>46234</v>
      </c>
      <c r="C4" s="15" t="s">
        <v>162</v>
      </c>
      <c r="D4" s="19">
        <v>0.01</v>
      </c>
      <c r="E4" s="30">
        <v>8</v>
      </c>
      <c r="F4" s="15"/>
      <c r="G4" s="15"/>
      <c r="H4" s="33">
        <v>2070792.09</v>
      </c>
      <c r="I4" s="8" t="s">
        <v>25</v>
      </c>
    </row>
    <row r="5" spans="2:9" ht="15" thickBot="1">
      <c r="B5" s="69">
        <v>46235</v>
      </c>
      <c r="C5" s="70" t="s">
        <v>305</v>
      </c>
      <c r="D5" s="358"/>
      <c r="E5" s="70"/>
      <c r="F5" s="358">
        <v>14.4</v>
      </c>
      <c r="G5" s="72">
        <v>12551.77</v>
      </c>
      <c r="H5" s="74">
        <f>H4+G5</f>
        <v>2083343.86</v>
      </c>
      <c r="I5" s="359" t="s">
        <v>13</v>
      </c>
    </row>
    <row r="6" spans="2:9" ht="15" thickBot="1">
      <c r="B6" s="69">
        <v>46235</v>
      </c>
      <c r="C6" s="70" t="s">
        <v>307</v>
      </c>
      <c r="D6" s="358"/>
      <c r="E6" s="72"/>
      <c r="F6" s="70">
        <v>8.69</v>
      </c>
      <c r="G6" s="72">
        <v>7576.37</v>
      </c>
      <c r="H6" s="74">
        <f>H5+G6</f>
        <v>2090920.2300000002</v>
      </c>
      <c r="I6" s="359" t="s">
        <v>13</v>
      </c>
    </row>
    <row r="7" spans="2:9" ht="15" thickBot="1">
      <c r="B7" s="361">
        <v>46235</v>
      </c>
      <c r="C7" s="70" t="s">
        <v>308</v>
      </c>
      <c r="D7" s="73"/>
      <c r="E7" s="72"/>
      <c r="F7" s="358">
        <v>8.69</v>
      </c>
      <c r="G7" s="72">
        <v>7576.33</v>
      </c>
      <c r="H7" s="74">
        <f>H6+G7</f>
        <v>2098496.56</v>
      </c>
      <c r="I7" s="362" t="s">
        <v>13</v>
      </c>
    </row>
    <row r="8" spans="2:9" ht="15" thickBot="1">
      <c r="B8" s="231">
        <v>46235</v>
      </c>
      <c r="C8" s="363" t="s">
        <v>309</v>
      </c>
      <c r="D8" s="247">
        <v>0.22</v>
      </c>
      <c r="E8" s="247">
        <v>188.27</v>
      </c>
      <c r="F8" s="234"/>
      <c r="G8" s="357"/>
      <c r="H8" s="245">
        <f>H7-E8</f>
        <v>2098308.29</v>
      </c>
      <c r="I8" s="360" t="s">
        <v>25</v>
      </c>
    </row>
    <row r="9" spans="2:9" ht="15" thickBot="1">
      <c r="B9" s="364">
        <v>46235</v>
      </c>
      <c r="C9" s="363" t="s">
        <v>309</v>
      </c>
      <c r="D9" s="233">
        <v>0.13</v>
      </c>
      <c r="E9" s="24">
        <v>113.64</v>
      </c>
      <c r="F9" s="234"/>
      <c r="G9" s="234"/>
      <c r="H9" s="245">
        <f t="shared" ref="H9:H10" si="0">H8-E9</f>
        <v>2098194.65</v>
      </c>
      <c r="I9" s="360" t="s">
        <v>25</v>
      </c>
    </row>
    <row r="10" spans="2:9" ht="15" thickBot="1">
      <c r="B10" s="231">
        <v>46235</v>
      </c>
      <c r="C10" s="363" t="s">
        <v>309</v>
      </c>
      <c r="D10" s="24">
        <v>0.13</v>
      </c>
      <c r="E10" s="235">
        <v>113.64</v>
      </c>
      <c r="F10" s="234"/>
      <c r="G10" s="234"/>
      <c r="H10" s="245">
        <f t="shared" si="0"/>
        <v>2098081.0099999998</v>
      </c>
      <c r="I10" s="360" t="s">
        <v>25</v>
      </c>
    </row>
    <row r="11" spans="2:9" ht="15" thickBot="1">
      <c r="B11" s="69">
        <v>46236</v>
      </c>
      <c r="C11" s="70" t="s">
        <v>306</v>
      </c>
      <c r="D11" s="72"/>
      <c r="E11" s="365"/>
      <c r="F11" s="72">
        <v>14.49</v>
      </c>
      <c r="G11" s="73">
        <v>12633.66</v>
      </c>
      <c r="H11" s="74">
        <f>H10+G11</f>
        <v>2110714.67</v>
      </c>
      <c r="I11" s="359" t="s">
        <v>13</v>
      </c>
    </row>
    <row r="12" spans="2:9" ht="15" thickBot="1">
      <c r="B12" s="69">
        <v>46236</v>
      </c>
      <c r="C12" s="70" t="s">
        <v>310</v>
      </c>
      <c r="D12" s="72"/>
      <c r="E12" s="72"/>
      <c r="F12" s="72">
        <v>11.59</v>
      </c>
      <c r="G12" s="73">
        <v>10108.209999999999</v>
      </c>
      <c r="H12" s="74">
        <f t="shared" ref="H12:H13" si="1">H11+G12</f>
        <v>2120822.88</v>
      </c>
      <c r="I12" s="359" t="s">
        <v>13</v>
      </c>
    </row>
    <row r="13" spans="2:9" ht="15" thickBot="1">
      <c r="B13" s="69">
        <v>46236</v>
      </c>
      <c r="C13" s="70" t="s">
        <v>305</v>
      </c>
      <c r="D13" s="72"/>
      <c r="E13" s="366"/>
      <c r="F13" s="72">
        <v>2.9</v>
      </c>
      <c r="G13" s="73">
        <v>2531.89</v>
      </c>
      <c r="H13" s="74">
        <f t="shared" si="1"/>
        <v>2123354.77</v>
      </c>
      <c r="I13" s="359" t="s">
        <v>13</v>
      </c>
    </row>
    <row r="14" spans="2:9" ht="15" thickBot="1">
      <c r="B14" s="231">
        <v>46236</v>
      </c>
      <c r="C14" s="363" t="s">
        <v>309</v>
      </c>
      <c r="D14" s="24">
        <v>0.22</v>
      </c>
      <c r="E14" s="235">
        <v>189.5</v>
      </c>
      <c r="F14" s="234"/>
      <c r="G14" s="234"/>
      <c r="H14" s="76">
        <f>H13-E14</f>
        <v>2123165.27</v>
      </c>
      <c r="I14" s="360" t="s">
        <v>25</v>
      </c>
    </row>
    <row r="15" spans="2:9" ht="15" thickBot="1">
      <c r="B15" s="231">
        <v>46236</v>
      </c>
      <c r="C15" s="363" t="s">
        <v>309</v>
      </c>
      <c r="D15" s="24">
        <v>0.17</v>
      </c>
      <c r="E15" s="235">
        <v>151.62</v>
      </c>
      <c r="F15" s="234"/>
      <c r="G15" s="234"/>
      <c r="H15" s="76">
        <f t="shared" ref="H15:H16" si="2">H14-E15</f>
        <v>2123013.65</v>
      </c>
      <c r="I15" s="360" t="s">
        <v>25</v>
      </c>
    </row>
    <row r="16" spans="2:9" ht="15" thickBot="1">
      <c r="B16" s="231">
        <v>46236</v>
      </c>
      <c r="C16" s="363" t="s">
        <v>309</v>
      </c>
      <c r="D16" s="24">
        <v>0</v>
      </c>
      <c r="E16" s="235">
        <v>37.97</v>
      </c>
      <c r="F16" s="234"/>
      <c r="G16" s="234"/>
      <c r="H16" s="76">
        <f t="shared" si="2"/>
        <v>2122975.6799999997</v>
      </c>
      <c r="I16" s="360" t="s">
        <v>25</v>
      </c>
    </row>
    <row r="17" spans="2:9" ht="15" thickBot="1">
      <c r="B17" s="69">
        <v>46237</v>
      </c>
      <c r="C17" s="70" t="s">
        <v>311</v>
      </c>
      <c r="D17" s="72"/>
      <c r="E17" s="73"/>
      <c r="F17" s="72">
        <v>20.25</v>
      </c>
      <c r="G17" s="72">
        <v>17723.23</v>
      </c>
      <c r="H17" s="74">
        <f>H16+G17</f>
        <v>2140698.9099999997</v>
      </c>
      <c r="I17" s="75" t="s">
        <v>13</v>
      </c>
    </row>
    <row r="18" spans="2:9" ht="15" thickBot="1">
      <c r="B18" s="69">
        <v>46237</v>
      </c>
      <c r="C18" s="70" t="s">
        <v>306</v>
      </c>
      <c r="D18" s="72"/>
      <c r="E18" s="73"/>
      <c r="F18" s="72">
        <v>14.46</v>
      </c>
      <c r="G18" s="72">
        <v>12659.45</v>
      </c>
      <c r="H18" s="74">
        <f>H17+G18</f>
        <v>2153358.36</v>
      </c>
      <c r="I18" s="75" t="s">
        <v>13</v>
      </c>
    </row>
    <row r="19" spans="2:9" ht="15" thickBot="1">
      <c r="B19" s="281">
        <v>46237</v>
      </c>
      <c r="C19" s="363" t="s">
        <v>309</v>
      </c>
      <c r="D19" s="246">
        <v>0.3</v>
      </c>
      <c r="E19" s="244">
        <v>265.83999999999997</v>
      </c>
      <c r="F19" s="236"/>
      <c r="G19" s="236"/>
      <c r="H19" s="245">
        <f t="shared" ref="H19:H25" si="3">H18-E19</f>
        <v>2153092.52</v>
      </c>
      <c r="I19" s="367" t="s">
        <v>25</v>
      </c>
    </row>
    <row r="20" spans="2:9" ht="15" thickBot="1">
      <c r="B20" s="281">
        <v>46237</v>
      </c>
      <c r="C20" s="363" t="s">
        <v>309</v>
      </c>
      <c r="D20" s="246">
        <v>0.22</v>
      </c>
      <c r="E20" s="244">
        <v>189.89</v>
      </c>
      <c r="F20" s="150"/>
      <c r="G20" s="150"/>
      <c r="H20" s="153">
        <f t="shared" si="3"/>
        <v>2152902.63</v>
      </c>
      <c r="I20" s="367" t="s">
        <v>25</v>
      </c>
    </row>
    <row r="21" spans="2:9" ht="15" thickBot="1">
      <c r="B21" s="368">
        <v>46237</v>
      </c>
      <c r="C21" s="369" t="s">
        <v>312</v>
      </c>
      <c r="D21" s="246">
        <v>9.6300000000000008</v>
      </c>
      <c r="E21" s="244">
        <v>8429.98</v>
      </c>
      <c r="F21" s="369"/>
      <c r="G21" s="370"/>
      <c r="H21" s="245">
        <f t="shared" si="3"/>
        <v>2144472.65</v>
      </c>
      <c r="I21" s="367" t="s">
        <v>313</v>
      </c>
    </row>
    <row r="22" spans="2:9" ht="15" thickBot="1">
      <c r="B22" s="231">
        <v>46237</v>
      </c>
      <c r="C22" s="448" t="s">
        <v>475</v>
      </c>
      <c r="D22" s="24">
        <v>427.77</v>
      </c>
      <c r="E22" s="235">
        <v>374390</v>
      </c>
      <c r="F22" s="234"/>
      <c r="G22" s="234"/>
      <c r="H22" s="153">
        <f t="shared" si="3"/>
        <v>1770082.65</v>
      </c>
      <c r="I22" s="367" t="s">
        <v>313</v>
      </c>
    </row>
    <row r="23" spans="2:9" ht="15" thickBot="1">
      <c r="B23" s="231">
        <v>46237</v>
      </c>
      <c r="C23" s="369" t="s">
        <v>31</v>
      </c>
      <c r="D23" s="24">
        <v>1.28</v>
      </c>
      <c r="E23" s="235">
        <v>1123.17</v>
      </c>
      <c r="F23" s="234"/>
      <c r="G23" s="234"/>
      <c r="H23" s="153">
        <f t="shared" si="3"/>
        <v>1768959.48</v>
      </c>
      <c r="I23" s="367" t="s">
        <v>25</v>
      </c>
    </row>
    <row r="24" spans="2:9" ht="15" thickBot="1">
      <c r="B24" s="231">
        <v>46237</v>
      </c>
      <c r="C24" s="448" t="s">
        <v>476</v>
      </c>
      <c r="D24" s="24">
        <v>34.92</v>
      </c>
      <c r="E24" s="235">
        <v>30565.19</v>
      </c>
      <c r="F24" s="234"/>
      <c r="G24" s="234"/>
      <c r="H24" s="153">
        <f t="shared" si="3"/>
        <v>1738394.29</v>
      </c>
      <c r="I24" s="367" t="s">
        <v>313</v>
      </c>
    </row>
    <row r="25" spans="2:9" ht="15" thickBot="1">
      <c r="B25" s="231">
        <v>46237</v>
      </c>
      <c r="C25" s="369" t="s">
        <v>31</v>
      </c>
      <c r="D25" s="24">
        <v>0.1</v>
      </c>
      <c r="E25" s="235">
        <v>91.69</v>
      </c>
      <c r="F25" s="234"/>
      <c r="G25" s="234"/>
      <c r="H25" s="153">
        <f t="shared" si="3"/>
        <v>1738302.6</v>
      </c>
      <c r="I25" s="367" t="s">
        <v>25</v>
      </c>
    </row>
    <row r="26" spans="2:9" ht="15" thickBot="1">
      <c r="B26" s="69">
        <v>46238</v>
      </c>
      <c r="C26" s="70" t="s">
        <v>316</v>
      </c>
      <c r="D26" s="72"/>
      <c r="E26" s="73"/>
      <c r="F26" s="70">
        <v>52.07</v>
      </c>
      <c r="G26" s="72">
        <v>45574</v>
      </c>
      <c r="H26" s="74">
        <f>H25+G26</f>
        <v>1783876.6</v>
      </c>
      <c r="I26" s="75" t="s">
        <v>25</v>
      </c>
    </row>
    <row r="27" spans="2:9" ht="15" thickBot="1">
      <c r="B27" s="69">
        <v>46238</v>
      </c>
      <c r="C27" s="70" t="s">
        <v>311</v>
      </c>
      <c r="D27" s="72"/>
      <c r="E27" s="73"/>
      <c r="F27" s="70">
        <v>20.25</v>
      </c>
      <c r="G27" s="72">
        <v>17723.23</v>
      </c>
      <c r="H27" s="74">
        <f t="shared" ref="H27:H28" si="4">H26+G27</f>
        <v>1801599.83</v>
      </c>
      <c r="I27" s="75" t="s">
        <v>25</v>
      </c>
    </row>
    <row r="28" spans="2:9" ht="15" thickBot="1">
      <c r="B28" s="69">
        <v>46238</v>
      </c>
      <c r="C28" s="70" t="s">
        <v>317</v>
      </c>
      <c r="D28" s="72"/>
      <c r="E28" s="73"/>
      <c r="F28" s="70">
        <v>20.239999999999998</v>
      </c>
      <c r="G28" s="72">
        <v>17710.25</v>
      </c>
      <c r="H28" s="74">
        <f t="shared" si="4"/>
        <v>1819310.0800000001</v>
      </c>
      <c r="I28" s="75" t="s">
        <v>25</v>
      </c>
    </row>
    <row r="29" spans="2:9" ht="15" thickBot="1">
      <c r="B29" s="231">
        <v>46238</v>
      </c>
      <c r="C29" s="363" t="s">
        <v>309</v>
      </c>
      <c r="D29" s="24">
        <v>0.78</v>
      </c>
      <c r="E29" s="235">
        <v>683.61</v>
      </c>
      <c r="F29" s="234"/>
      <c r="G29" s="234"/>
      <c r="H29" s="153">
        <f>H28-E29</f>
        <v>1818626.47</v>
      </c>
      <c r="I29" s="367" t="s">
        <v>25</v>
      </c>
    </row>
    <row r="30" spans="2:9" ht="15" thickBot="1">
      <c r="B30" s="231">
        <v>46238</v>
      </c>
      <c r="C30" s="363" t="s">
        <v>309</v>
      </c>
      <c r="D30" s="24">
        <v>0.3</v>
      </c>
      <c r="E30" s="235">
        <v>265.83999999999997</v>
      </c>
      <c r="F30" s="234"/>
      <c r="G30" s="234"/>
      <c r="H30" s="153">
        <f t="shared" ref="H30:H31" si="5">H29-E30</f>
        <v>1818360.63</v>
      </c>
      <c r="I30" s="367" t="s">
        <v>25</v>
      </c>
    </row>
    <row r="31" spans="2:9" ht="15" thickBot="1">
      <c r="B31" s="231">
        <v>46238</v>
      </c>
      <c r="C31" s="363" t="s">
        <v>309</v>
      </c>
      <c r="D31" s="24">
        <v>0.3</v>
      </c>
      <c r="E31" s="235">
        <v>265.64999999999998</v>
      </c>
      <c r="F31" s="234"/>
      <c r="G31" s="234"/>
      <c r="H31" s="153">
        <f t="shared" si="5"/>
        <v>1818094.98</v>
      </c>
      <c r="I31" s="367" t="s">
        <v>25</v>
      </c>
    </row>
    <row r="32" spans="2:9" ht="15" thickBot="1">
      <c r="B32" s="69">
        <v>46238</v>
      </c>
      <c r="C32" s="70" t="s">
        <v>477</v>
      </c>
      <c r="D32" s="72"/>
      <c r="E32" s="73"/>
      <c r="F32" s="72">
        <v>5731</v>
      </c>
      <c r="G32" s="72">
        <v>5015885.05</v>
      </c>
      <c r="H32" s="74">
        <f>H31+G32</f>
        <v>6833980.0299999993</v>
      </c>
      <c r="I32" s="75"/>
    </row>
    <row r="33" spans="2:9" ht="29.5" thickBot="1">
      <c r="B33" s="231">
        <v>46238</v>
      </c>
      <c r="C33" s="449" t="s">
        <v>478</v>
      </c>
      <c r="D33" s="24">
        <v>799.34</v>
      </c>
      <c r="E33" s="235">
        <v>699600</v>
      </c>
      <c r="F33" s="234"/>
      <c r="G33" s="234"/>
      <c r="H33" s="153">
        <f t="shared" ref="H33:H40" si="6">H32-E33</f>
        <v>6134380.0299999993</v>
      </c>
      <c r="I33" s="367" t="s">
        <v>10</v>
      </c>
    </row>
    <row r="34" spans="2:9" ht="15" thickBot="1">
      <c r="B34" s="231">
        <v>46238</v>
      </c>
      <c r="C34" s="369" t="s">
        <v>31</v>
      </c>
      <c r="D34" s="24">
        <v>2.4</v>
      </c>
      <c r="E34" s="235">
        <v>2098.8000000000002</v>
      </c>
      <c r="F34" s="234"/>
      <c r="G34" s="234"/>
      <c r="H34" s="153">
        <f t="shared" si="6"/>
        <v>6132281.2299999995</v>
      </c>
      <c r="I34" s="367" t="s">
        <v>25</v>
      </c>
    </row>
    <row r="35" spans="2:9" ht="29.5" thickBot="1">
      <c r="B35" s="231">
        <v>46238</v>
      </c>
      <c r="C35" s="449" t="s">
        <v>479</v>
      </c>
      <c r="D35" s="371">
        <v>2090.02</v>
      </c>
      <c r="E35" s="235">
        <v>1829227.54</v>
      </c>
      <c r="F35" s="234"/>
      <c r="G35" s="234"/>
      <c r="H35" s="153">
        <f t="shared" si="6"/>
        <v>4303053.6899999995</v>
      </c>
      <c r="I35" s="367" t="s">
        <v>10</v>
      </c>
    </row>
    <row r="36" spans="2:9" ht="15" thickBot="1">
      <c r="B36" s="231">
        <v>46238</v>
      </c>
      <c r="C36" s="369" t="s">
        <v>31</v>
      </c>
      <c r="D36" s="24">
        <v>6.27</v>
      </c>
      <c r="E36" s="235">
        <v>5487.68</v>
      </c>
      <c r="F36" s="234"/>
      <c r="G36" s="234"/>
      <c r="H36" s="153">
        <f t="shared" si="6"/>
        <v>4297566.01</v>
      </c>
      <c r="I36" s="367" t="s">
        <v>25</v>
      </c>
    </row>
    <row r="37" spans="2:9" ht="29.5" thickBot="1">
      <c r="B37" s="231">
        <v>46238</v>
      </c>
      <c r="C37" s="449" t="s">
        <v>480</v>
      </c>
      <c r="D37" s="24">
        <v>1379.37</v>
      </c>
      <c r="E37" s="235">
        <v>1207248.3600000001</v>
      </c>
      <c r="F37" s="234"/>
      <c r="G37" s="234"/>
      <c r="H37" s="153">
        <f t="shared" si="6"/>
        <v>3090317.6499999994</v>
      </c>
      <c r="I37" s="367" t="s">
        <v>85</v>
      </c>
    </row>
    <row r="38" spans="2:9" ht="15" thickBot="1">
      <c r="B38" s="231">
        <v>46238</v>
      </c>
      <c r="C38" s="369" t="s">
        <v>31</v>
      </c>
      <c r="D38" s="24">
        <v>4.1399999999999997</v>
      </c>
      <c r="E38" s="235">
        <v>3621.74</v>
      </c>
      <c r="F38" s="234"/>
      <c r="G38" s="234"/>
      <c r="H38" s="153">
        <f t="shared" si="6"/>
        <v>3086695.9099999992</v>
      </c>
      <c r="I38" s="367" t="s">
        <v>25</v>
      </c>
    </row>
    <row r="39" spans="2:9" ht="15" thickBot="1">
      <c r="B39" s="231">
        <v>46238</v>
      </c>
      <c r="C39" s="448" t="s">
        <v>481</v>
      </c>
      <c r="D39" s="24">
        <v>859.33</v>
      </c>
      <c r="E39" s="235">
        <v>752100</v>
      </c>
      <c r="F39" s="234"/>
      <c r="G39" s="234"/>
      <c r="H39" s="153">
        <f t="shared" si="6"/>
        <v>2334595.9099999992</v>
      </c>
      <c r="I39" s="367" t="s">
        <v>10</v>
      </c>
    </row>
    <row r="40" spans="2:9" ht="15" thickBot="1">
      <c r="B40" s="231">
        <v>46238</v>
      </c>
      <c r="C40" s="369" t="s">
        <v>31</v>
      </c>
      <c r="D40" s="24">
        <v>2.58</v>
      </c>
      <c r="E40" s="235">
        <v>2256.3000000000002</v>
      </c>
      <c r="F40" s="234"/>
      <c r="G40" s="234"/>
      <c r="H40" s="153">
        <f t="shared" si="6"/>
        <v>2332339.6099999994</v>
      </c>
      <c r="I40" s="367" t="s">
        <v>25</v>
      </c>
    </row>
    <row r="41" spans="2:9" ht="15" thickBot="1">
      <c r="B41" s="69">
        <v>46239</v>
      </c>
      <c r="C41" s="70" t="s">
        <v>323</v>
      </c>
      <c r="D41" s="72"/>
      <c r="E41" s="73"/>
      <c r="F41" s="70">
        <v>26.16</v>
      </c>
      <c r="G41" s="72">
        <v>22892.67</v>
      </c>
      <c r="H41" s="74">
        <f>H40+G41</f>
        <v>2355232.2799999993</v>
      </c>
      <c r="I41" s="75" t="s">
        <v>13</v>
      </c>
    </row>
    <row r="42" spans="2:9" ht="15" thickBot="1">
      <c r="B42" s="69">
        <v>46239</v>
      </c>
      <c r="C42" s="70" t="s">
        <v>316</v>
      </c>
      <c r="D42" s="72"/>
      <c r="E42" s="73"/>
      <c r="F42" s="70">
        <v>23.21</v>
      </c>
      <c r="G42" s="72">
        <v>20313.759999999998</v>
      </c>
      <c r="H42" s="74">
        <f t="shared" ref="H42:H44" si="7">H41+G42</f>
        <v>2375546.0399999991</v>
      </c>
      <c r="I42" s="75" t="s">
        <v>13</v>
      </c>
    </row>
    <row r="43" spans="2:9" ht="15" thickBot="1">
      <c r="B43" s="69">
        <v>46239</v>
      </c>
      <c r="C43" s="70" t="s">
        <v>324</v>
      </c>
      <c r="D43" s="72"/>
      <c r="E43" s="73"/>
      <c r="F43" s="70">
        <v>11.63</v>
      </c>
      <c r="G43" s="72">
        <v>10178.36</v>
      </c>
      <c r="H43" s="74">
        <f t="shared" si="7"/>
        <v>2385724.399999999</v>
      </c>
      <c r="I43" s="75" t="s">
        <v>13</v>
      </c>
    </row>
    <row r="44" spans="2:9" ht="15" thickBot="1">
      <c r="B44" s="69">
        <v>46239</v>
      </c>
      <c r="C44" s="70" t="s">
        <v>323</v>
      </c>
      <c r="D44" s="72"/>
      <c r="E44" s="73"/>
      <c r="F44" s="70">
        <v>2.91</v>
      </c>
      <c r="G44" s="72">
        <v>2543.63</v>
      </c>
      <c r="H44" s="74">
        <f t="shared" si="7"/>
        <v>2388268.0299999989</v>
      </c>
      <c r="I44" s="75" t="s">
        <v>13</v>
      </c>
    </row>
    <row r="45" spans="2:9" ht="15" thickBot="1">
      <c r="B45" s="231">
        <v>46239</v>
      </c>
      <c r="C45" s="363" t="s">
        <v>309</v>
      </c>
      <c r="D45" s="24">
        <v>0.39</v>
      </c>
      <c r="E45" s="235">
        <v>343.39</v>
      </c>
      <c r="F45" s="234"/>
      <c r="G45" s="234"/>
      <c r="H45" s="153">
        <f>H44-E45</f>
        <v>2387924.6399999987</v>
      </c>
      <c r="I45" s="367" t="s">
        <v>25</v>
      </c>
    </row>
    <row r="46" spans="2:9" ht="15" thickBot="1">
      <c r="B46" s="231">
        <v>46239</v>
      </c>
      <c r="C46" s="363" t="s">
        <v>309</v>
      </c>
      <c r="D46" s="24">
        <v>0.35</v>
      </c>
      <c r="E46" s="235">
        <v>304.7</v>
      </c>
      <c r="F46" s="234"/>
      <c r="G46" s="234"/>
      <c r="H46" s="153">
        <f t="shared" ref="H46:H48" si="8">H45-E46</f>
        <v>2387619.9399999985</v>
      </c>
      <c r="I46" s="367" t="s">
        <v>25</v>
      </c>
    </row>
    <row r="47" spans="2:9" ht="15" thickBot="1">
      <c r="B47" s="231">
        <v>46239</v>
      </c>
      <c r="C47" s="363" t="s">
        <v>309</v>
      </c>
      <c r="D47" s="24">
        <v>0.17</v>
      </c>
      <c r="E47" s="235">
        <v>152.66999999999999</v>
      </c>
      <c r="F47" s="234"/>
      <c r="G47" s="234"/>
      <c r="H47" s="153">
        <f t="shared" si="8"/>
        <v>2387467.2699999986</v>
      </c>
      <c r="I47" s="367" t="s">
        <v>25</v>
      </c>
    </row>
    <row r="48" spans="2:9" ht="15" thickBot="1">
      <c r="B48" s="231">
        <v>46239</v>
      </c>
      <c r="C48" s="363" t="s">
        <v>309</v>
      </c>
      <c r="D48" s="24">
        <v>0.04</v>
      </c>
      <c r="E48" s="235">
        <v>38.15</v>
      </c>
      <c r="F48" s="234"/>
      <c r="G48" s="234"/>
      <c r="H48" s="153">
        <f t="shared" si="8"/>
        <v>2387429.1199999987</v>
      </c>
      <c r="I48" s="367" t="s">
        <v>25</v>
      </c>
    </row>
    <row r="49" spans="2:9" ht="15" thickBot="1">
      <c r="B49" s="231">
        <v>46239</v>
      </c>
      <c r="C49" s="449" t="s">
        <v>482</v>
      </c>
      <c r="D49" s="24">
        <v>193.85</v>
      </c>
      <c r="E49" s="235">
        <v>169658.97</v>
      </c>
      <c r="F49" s="234"/>
      <c r="G49" s="234"/>
      <c r="H49" s="153">
        <f t="shared" ref="H49:H55" si="9">H48-E49</f>
        <v>2217770.1499999985</v>
      </c>
      <c r="I49" s="367" t="s">
        <v>10</v>
      </c>
    </row>
    <row r="50" spans="2:9" ht="15" thickBot="1">
      <c r="B50" s="231">
        <v>46239</v>
      </c>
      <c r="C50" s="369" t="s">
        <v>31</v>
      </c>
      <c r="D50" s="24">
        <v>0.57999999999999996</v>
      </c>
      <c r="E50" s="235">
        <v>508.97</v>
      </c>
      <c r="F50" s="234"/>
      <c r="G50" s="234"/>
      <c r="H50" s="153">
        <f t="shared" si="9"/>
        <v>2217261.1799999983</v>
      </c>
      <c r="I50" s="367" t="s">
        <v>25</v>
      </c>
    </row>
    <row r="51" spans="2:9" ht="29.5" thickBot="1">
      <c r="B51" s="231">
        <v>46239</v>
      </c>
      <c r="C51" s="449" t="s">
        <v>483</v>
      </c>
      <c r="D51" s="24">
        <v>32.9</v>
      </c>
      <c r="E51" s="235">
        <v>28790.39</v>
      </c>
      <c r="F51" s="234"/>
      <c r="G51" s="234"/>
      <c r="H51" s="153">
        <f t="shared" si="9"/>
        <v>2188470.7899999982</v>
      </c>
      <c r="I51" s="367" t="s">
        <v>10</v>
      </c>
    </row>
    <row r="52" spans="2:9" ht="15" thickBot="1">
      <c r="B52" s="231">
        <v>46239</v>
      </c>
      <c r="C52" s="369" t="s">
        <v>31</v>
      </c>
      <c r="D52" s="24">
        <v>0.1</v>
      </c>
      <c r="E52" s="235">
        <v>86.37</v>
      </c>
      <c r="F52" s="234"/>
      <c r="G52" s="234"/>
      <c r="H52" s="153">
        <f t="shared" si="9"/>
        <v>2188384.4199999981</v>
      </c>
      <c r="I52" s="367" t="s">
        <v>25</v>
      </c>
    </row>
    <row r="53" spans="2:9" ht="15" thickBot="1">
      <c r="B53" s="231">
        <v>46239</v>
      </c>
      <c r="C53" s="448" t="s">
        <v>484</v>
      </c>
      <c r="D53" s="24">
        <v>0.69</v>
      </c>
      <c r="E53" s="235">
        <v>600</v>
      </c>
      <c r="F53" s="234"/>
      <c r="G53" s="234"/>
      <c r="H53" s="153">
        <f t="shared" si="9"/>
        <v>2187784.4199999981</v>
      </c>
      <c r="I53" s="367" t="s">
        <v>13</v>
      </c>
    </row>
    <row r="54" spans="2:9" ht="29.5" thickBot="1">
      <c r="B54" s="231">
        <v>46239</v>
      </c>
      <c r="C54" s="449" t="s">
        <v>328</v>
      </c>
      <c r="D54" s="24">
        <v>33.82</v>
      </c>
      <c r="E54" s="235">
        <v>29603.759999999998</v>
      </c>
      <c r="F54" s="234"/>
      <c r="G54" s="234"/>
      <c r="H54" s="153">
        <f t="shared" si="9"/>
        <v>2158180.6599999983</v>
      </c>
      <c r="I54" s="367" t="s">
        <v>13</v>
      </c>
    </row>
    <row r="55" spans="2:9" ht="15" thickBot="1">
      <c r="B55" s="231">
        <v>46239</v>
      </c>
      <c r="C55" s="369" t="s">
        <v>329</v>
      </c>
      <c r="D55" s="24">
        <v>28.51</v>
      </c>
      <c r="E55" s="235">
        <v>24950</v>
      </c>
      <c r="F55" s="234"/>
      <c r="G55" s="234"/>
      <c r="H55" s="153">
        <f t="shared" si="9"/>
        <v>2133230.6599999983</v>
      </c>
      <c r="I55" s="367" t="s">
        <v>13</v>
      </c>
    </row>
    <row r="56" spans="2:9" ht="15" thickBot="1">
      <c r="B56" s="69">
        <v>46240</v>
      </c>
      <c r="C56" s="70" t="s">
        <v>330</v>
      </c>
      <c r="D56" s="72"/>
      <c r="E56" s="73"/>
      <c r="F56" s="70">
        <v>49.68</v>
      </c>
      <c r="G56" s="72">
        <v>43484.77</v>
      </c>
      <c r="H56" s="74">
        <f>H55+G56</f>
        <v>2176715.4299999983</v>
      </c>
      <c r="I56" s="75" t="s">
        <v>13</v>
      </c>
    </row>
    <row r="57" spans="2:9" ht="15" thickBot="1">
      <c r="B57" s="69">
        <v>46240</v>
      </c>
      <c r="C57" s="70" t="s">
        <v>330</v>
      </c>
      <c r="D57" s="72"/>
      <c r="E57" s="73"/>
      <c r="F57" s="70">
        <v>31.58</v>
      </c>
      <c r="G57" s="72">
        <v>27640.19</v>
      </c>
      <c r="H57" s="74">
        <f>H56+G57</f>
        <v>2204355.6199999982</v>
      </c>
      <c r="I57" s="75" t="s">
        <v>13</v>
      </c>
    </row>
    <row r="58" spans="2:9" ht="15" thickBot="1">
      <c r="B58" s="231">
        <v>46240</v>
      </c>
      <c r="C58" s="363" t="s">
        <v>309</v>
      </c>
      <c r="D58" s="24">
        <v>0.75</v>
      </c>
      <c r="E58" s="235">
        <v>652.27</v>
      </c>
      <c r="F58" s="234"/>
      <c r="G58" s="234"/>
      <c r="H58" s="153">
        <f>H57-E58</f>
        <v>2203703.3499999982</v>
      </c>
      <c r="I58" s="367" t="s">
        <v>25</v>
      </c>
    </row>
    <row r="59" spans="2:9" ht="15" thickBot="1">
      <c r="B59" s="231">
        <v>46240</v>
      </c>
      <c r="C59" s="363" t="s">
        <v>309</v>
      </c>
      <c r="D59" s="24">
        <v>0.47</v>
      </c>
      <c r="E59" s="235">
        <v>414.6</v>
      </c>
      <c r="F59" s="234"/>
      <c r="G59" s="234"/>
      <c r="H59" s="153">
        <f>H58-E59</f>
        <v>2203288.7499999981</v>
      </c>
      <c r="I59" s="367" t="s">
        <v>25</v>
      </c>
    </row>
    <row r="60" spans="2:9" ht="15" thickBot="1">
      <c r="B60" s="231">
        <v>46240</v>
      </c>
      <c r="C60" s="369" t="s">
        <v>331</v>
      </c>
      <c r="D60" s="24">
        <v>3.46</v>
      </c>
      <c r="E60" s="235">
        <v>3024</v>
      </c>
      <c r="F60" s="234"/>
      <c r="G60" s="234"/>
      <c r="H60" s="153">
        <f>H59-E60</f>
        <v>2200264.7499999981</v>
      </c>
      <c r="I60" s="367" t="s">
        <v>13</v>
      </c>
    </row>
    <row r="61" spans="2:9" ht="15" thickBot="1">
      <c r="B61" s="231">
        <v>46240</v>
      </c>
      <c r="C61" s="449" t="s">
        <v>485</v>
      </c>
      <c r="D61" s="24">
        <v>431.83</v>
      </c>
      <c r="E61" s="235">
        <v>377950</v>
      </c>
      <c r="F61" s="234"/>
      <c r="G61" s="234"/>
      <c r="H61" s="153">
        <f>H60-E61</f>
        <v>1822314.7499999981</v>
      </c>
      <c r="I61" s="367" t="s">
        <v>10</v>
      </c>
    </row>
    <row r="62" spans="2:9" ht="15" thickBot="1">
      <c r="B62" s="231">
        <v>46240</v>
      </c>
      <c r="C62" s="369" t="s">
        <v>31</v>
      </c>
      <c r="D62" s="24">
        <v>1.3</v>
      </c>
      <c r="E62" s="235">
        <v>1133.8499999999999</v>
      </c>
      <c r="F62" s="234"/>
      <c r="G62" s="234"/>
      <c r="H62" s="153">
        <f>H61-E62</f>
        <v>1821180.899999998</v>
      </c>
      <c r="I62" s="367" t="s">
        <v>25</v>
      </c>
    </row>
    <row r="63" spans="2:9" ht="15" thickBot="1">
      <c r="B63" s="69">
        <v>46241</v>
      </c>
      <c r="C63" s="70" t="s">
        <v>333</v>
      </c>
      <c r="D63" s="72"/>
      <c r="E63" s="73"/>
      <c r="F63" s="70">
        <v>37.68</v>
      </c>
      <c r="G63" s="72">
        <v>33352.28</v>
      </c>
      <c r="H63" s="74">
        <f>H62+G63</f>
        <v>1854533.1799999981</v>
      </c>
      <c r="I63" s="75" t="s">
        <v>13</v>
      </c>
    </row>
    <row r="64" spans="2:9" ht="15" thickBot="1">
      <c r="B64" s="69">
        <v>46241</v>
      </c>
      <c r="C64" s="70" t="s">
        <v>334</v>
      </c>
      <c r="D64" s="72"/>
      <c r="E64" s="73"/>
      <c r="F64" s="70">
        <v>23.14</v>
      </c>
      <c r="G64" s="72">
        <v>20481.18</v>
      </c>
      <c r="H64" s="74">
        <f t="shared" ref="H64:H66" si="10">H63+G64</f>
        <v>1875014.359999998</v>
      </c>
      <c r="I64" s="75" t="s">
        <v>13</v>
      </c>
    </row>
    <row r="65" spans="2:15" ht="15" thickBot="1">
      <c r="B65" s="69">
        <v>46241</v>
      </c>
      <c r="C65" s="70" t="s">
        <v>335</v>
      </c>
      <c r="D65" s="72"/>
      <c r="E65" s="73"/>
      <c r="F65" s="70">
        <v>17.38</v>
      </c>
      <c r="G65" s="72">
        <v>15381.16</v>
      </c>
      <c r="H65" s="74">
        <f t="shared" si="10"/>
        <v>1890395.5199999979</v>
      </c>
      <c r="I65" s="75" t="s">
        <v>13</v>
      </c>
    </row>
    <row r="66" spans="2:15" ht="15" thickBot="1">
      <c r="B66" s="69">
        <v>46241</v>
      </c>
      <c r="C66" s="70" t="s">
        <v>335</v>
      </c>
      <c r="D66" s="72"/>
      <c r="E66" s="73"/>
      <c r="F66" s="70">
        <v>2.89</v>
      </c>
      <c r="G66" s="72">
        <v>2558</v>
      </c>
      <c r="H66" s="74">
        <f t="shared" si="10"/>
        <v>1892953.5199999979</v>
      </c>
      <c r="I66" s="75" t="s">
        <v>13</v>
      </c>
    </row>
    <row r="67" spans="2:15" ht="15" thickBot="1">
      <c r="B67" s="231">
        <v>46241</v>
      </c>
      <c r="C67" s="363" t="s">
        <v>309</v>
      </c>
      <c r="D67" s="24">
        <v>0.56999999999999995</v>
      </c>
      <c r="E67" s="235">
        <v>500.28</v>
      </c>
      <c r="F67" s="234"/>
      <c r="G67" s="234"/>
      <c r="H67" s="153">
        <f>H66-E67</f>
        <v>1892453.2399999979</v>
      </c>
      <c r="I67" s="373" t="s">
        <v>25</v>
      </c>
      <c r="L67" s="265"/>
      <c r="M67" s="265"/>
      <c r="N67" s="265"/>
      <c r="O67" s="265"/>
    </row>
    <row r="68" spans="2:15" ht="15" thickBot="1">
      <c r="B68" s="231">
        <v>46241</v>
      </c>
      <c r="C68" s="363" t="s">
        <v>309</v>
      </c>
      <c r="D68" s="24">
        <v>0.35</v>
      </c>
      <c r="E68" s="235">
        <v>307.20999999999998</v>
      </c>
      <c r="F68" s="234"/>
      <c r="G68" s="234"/>
      <c r="H68" s="153">
        <f t="shared" ref="H68:H72" si="11">H67-E68</f>
        <v>1892146.0299999979</v>
      </c>
      <c r="I68" s="373" t="s">
        <v>25</v>
      </c>
      <c r="L68" s="265"/>
      <c r="M68" s="265"/>
      <c r="N68" s="265"/>
      <c r="O68" s="265"/>
    </row>
    <row r="69" spans="2:15" ht="15" thickBot="1">
      <c r="B69" s="231">
        <v>46241</v>
      </c>
      <c r="C69" s="363" t="s">
        <v>309</v>
      </c>
      <c r="D69" s="24">
        <v>0.26</v>
      </c>
      <c r="E69" s="235">
        <v>230.71</v>
      </c>
      <c r="F69" s="234"/>
      <c r="G69" s="234"/>
      <c r="H69" s="153">
        <f t="shared" si="11"/>
        <v>1891915.319999998</v>
      </c>
      <c r="I69" s="373" t="s">
        <v>25</v>
      </c>
      <c r="L69" s="398"/>
      <c r="M69" s="399"/>
      <c r="N69" s="265"/>
      <c r="O69" s="265"/>
    </row>
    <row r="70" spans="2:15" ht="15" thickBot="1">
      <c r="B70" s="231">
        <v>46241</v>
      </c>
      <c r="C70" s="363" t="s">
        <v>309</v>
      </c>
      <c r="D70" s="24">
        <v>0.04</v>
      </c>
      <c r="E70" s="235">
        <v>38.369999999999997</v>
      </c>
      <c r="F70" s="234"/>
      <c r="G70" s="234"/>
      <c r="H70" s="153">
        <f t="shared" si="11"/>
        <v>1891876.9499999979</v>
      </c>
      <c r="I70" s="373" t="s">
        <v>25</v>
      </c>
      <c r="L70" s="398"/>
      <c r="M70" s="399"/>
      <c r="N70" s="265"/>
      <c r="O70" s="265"/>
    </row>
    <row r="71" spans="2:15" ht="15" thickBot="1">
      <c r="B71" s="231">
        <v>46241</v>
      </c>
      <c r="C71" s="374" t="s">
        <v>336</v>
      </c>
      <c r="D71" s="24">
        <v>4.5999999999999996</v>
      </c>
      <c r="E71" s="235">
        <v>4071.09</v>
      </c>
      <c r="F71" s="234"/>
      <c r="G71" s="234"/>
      <c r="H71" s="153">
        <f t="shared" si="11"/>
        <v>1887805.8599999978</v>
      </c>
      <c r="I71" s="373" t="s">
        <v>13</v>
      </c>
      <c r="L71" s="398"/>
      <c r="M71" s="399"/>
      <c r="N71" s="265"/>
      <c r="O71" s="265"/>
    </row>
    <row r="72" spans="2:15" ht="15" thickBot="1">
      <c r="B72" s="231">
        <v>46241</v>
      </c>
      <c r="C72" s="448" t="s">
        <v>486</v>
      </c>
      <c r="D72" s="24">
        <v>6.55</v>
      </c>
      <c r="E72" s="235">
        <v>5800</v>
      </c>
      <c r="F72" s="234"/>
      <c r="G72" s="234"/>
      <c r="H72" s="153">
        <f t="shared" si="11"/>
        <v>1882005.8599999978</v>
      </c>
      <c r="I72" s="376" t="s">
        <v>13</v>
      </c>
      <c r="L72" s="400"/>
      <c r="M72" s="399"/>
      <c r="N72" s="265"/>
      <c r="O72" s="265"/>
    </row>
    <row r="73" spans="2:15" ht="15" thickBot="1">
      <c r="B73" s="69">
        <v>46241</v>
      </c>
      <c r="C73" s="70" t="s">
        <v>487</v>
      </c>
      <c r="D73" s="72"/>
      <c r="E73" s="73"/>
      <c r="F73" s="70">
        <v>68.64</v>
      </c>
      <c r="G73" s="72">
        <v>60748.97</v>
      </c>
      <c r="H73" s="74">
        <f>H72+G73</f>
        <v>1942754.8299999977</v>
      </c>
      <c r="I73" s="75" t="s">
        <v>10</v>
      </c>
      <c r="L73" s="265"/>
      <c r="M73" s="265"/>
      <c r="N73" s="265"/>
      <c r="O73" s="265"/>
    </row>
    <row r="74" spans="2:15" ht="15" thickBot="1">
      <c r="B74" s="69">
        <v>46241</v>
      </c>
      <c r="C74" s="70" t="s">
        <v>488</v>
      </c>
      <c r="D74" s="72"/>
      <c r="E74" s="73"/>
      <c r="F74" s="70">
        <v>881.6</v>
      </c>
      <c r="G74" s="72">
        <v>780286.16</v>
      </c>
      <c r="H74" s="74">
        <f>H73+G74</f>
        <v>2723040.9899999979</v>
      </c>
      <c r="I74" s="75" t="s">
        <v>10</v>
      </c>
    </row>
    <row r="75" spans="2:15" ht="15" thickBot="1">
      <c r="B75" s="69">
        <v>46242</v>
      </c>
      <c r="C75" s="70" t="s">
        <v>333</v>
      </c>
      <c r="D75" s="72"/>
      <c r="E75" s="73"/>
      <c r="F75" s="70"/>
      <c r="G75" s="72">
        <v>25661.4</v>
      </c>
      <c r="H75" s="74">
        <f t="shared" ref="H75:H77" si="12">H74+G75</f>
        <v>2748702.3899999978</v>
      </c>
      <c r="I75" s="75" t="s">
        <v>13</v>
      </c>
    </row>
    <row r="76" spans="2:15" ht="15" thickBot="1">
      <c r="B76" s="69">
        <v>46242</v>
      </c>
      <c r="C76" s="70" t="s">
        <v>340</v>
      </c>
      <c r="D76" s="72"/>
      <c r="E76" s="73"/>
      <c r="F76" s="70"/>
      <c r="G76" s="72">
        <v>25661.4</v>
      </c>
      <c r="H76" s="74">
        <f t="shared" si="12"/>
        <v>2774363.7899999977</v>
      </c>
      <c r="I76" s="75" t="s">
        <v>13</v>
      </c>
      <c r="N76" t="s">
        <v>357</v>
      </c>
    </row>
    <row r="77" spans="2:15" ht="15" thickBot="1">
      <c r="B77" s="69">
        <v>46242</v>
      </c>
      <c r="C77" s="70" t="s">
        <v>341</v>
      </c>
      <c r="D77" s="72"/>
      <c r="E77" s="73"/>
      <c r="F77" s="70"/>
      <c r="G77" s="72">
        <v>12812.71</v>
      </c>
      <c r="H77" s="74">
        <f t="shared" si="12"/>
        <v>2787176.4999999977</v>
      </c>
      <c r="I77" s="75" t="s">
        <v>13</v>
      </c>
    </row>
    <row r="78" spans="2:15" ht="15" thickBot="1">
      <c r="B78" s="231">
        <v>46242</v>
      </c>
      <c r="C78" s="363" t="s">
        <v>309</v>
      </c>
      <c r="D78" s="24">
        <v>0.43</v>
      </c>
      <c r="E78" s="235">
        <v>384.92</v>
      </c>
      <c r="F78" s="234"/>
      <c r="G78" s="234"/>
      <c r="H78" s="153">
        <f>H77-E78</f>
        <v>2786791.5799999977</v>
      </c>
      <c r="I78" s="376" t="s">
        <v>25</v>
      </c>
    </row>
    <row r="79" spans="2:15" ht="15" thickBot="1">
      <c r="B79" s="231">
        <v>46242</v>
      </c>
      <c r="C79" s="363" t="s">
        <v>309</v>
      </c>
      <c r="D79" s="24">
        <v>0.43</v>
      </c>
      <c r="E79" s="235">
        <v>384.92</v>
      </c>
      <c r="F79" s="234"/>
      <c r="G79" s="234"/>
      <c r="H79" s="153">
        <f t="shared" ref="H79:H80" si="13">H78-E79</f>
        <v>2786406.6599999978</v>
      </c>
      <c r="I79" s="376" t="s">
        <v>25</v>
      </c>
    </row>
    <row r="80" spans="2:15" ht="15" thickBot="1">
      <c r="B80" s="231">
        <v>46242</v>
      </c>
      <c r="C80" s="363" t="s">
        <v>309</v>
      </c>
      <c r="D80" s="24">
        <v>0.22</v>
      </c>
      <c r="E80" s="235">
        <v>192.19</v>
      </c>
      <c r="F80" s="234"/>
      <c r="G80" s="234"/>
      <c r="H80" s="153">
        <f t="shared" si="13"/>
        <v>2786214.4699999979</v>
      </c>
      <c r="I80" s="376" t="s">
        <v>25</v>
      </c>
    </row>
    <row r="81" spans="2:9" ht="15" thickBot="1">
      <c r="B81" s="69">
        <v>46243</v>
      </c>
      <c r="C81" s="70" t="s">
        <v>342</v>
      </c>
      <c r="D81" s="72"/>
      <c r="E81" s="73"/>
      <c r="F81" s="70">
        <v>35.68</v>
      </c>
      <c r="G81" s="72">
        <v>31582.06</v>
      </c>
      <c r="H81" s="74">
        <f>H80+G81</f>
        <v>2817796.5299999979</v>
      </c>
      <c r="I81" s="75" t="s">
        <v>13</v>
      </c>
    </row>
    <row r="82" spans="2:9" ht="15" thickBot="1">
      <c r="B82" s="69">
        <v>46243</v>
      </c>
      <c r="C82" s="70" t="s">
        <v>340</v>
      </c>
      <c r="D82" s="72"/>
      <c r="E82" s="73"/>
      <c r="F82" s="70">
        <v>32.450000000000003</v>
      </c>
      <c r="G82" s="72">
        <v>28721.35</v>
      </c>
      <c r="H82" s="74">
        <f t="shared" ref="H82:H83" si="14">H81+G82</f>
        <v>2846517.879999998</v>
      </c>
      <c r="I82" s="75" t="s">
        <v>13</v>
      </c>
    </row>
    <row r="83" spans="2:9" ht="15" thickBot="1">
      <c r="B83" s="69">
        <v>46243</v>
      </c>
      <c r="C83" s="70" t="s">
        <v>343</v>
      </c>
      <c r="D83" s="72"/>
      <c r="E83" s="73"/>
      <c r="F83" s="70">
        <v>2.9</v>
      </c>
      <c r="G83" s="72">
        <v>2563.36</v>
      </c>
      <c r="H83" s="74">
        <f t="shared" si="14"/>
        <v>2849081.2399999979</v>
      </c>
      <c r="I83" s="75" t="s">
        <v>13</v>
      </c>
    </row>
    <row r="84" spans="2:9" ht="15" thickBot="1">
      <c r="B84" s="231">
        <v>46243</v>
      </c>
      <c r="C84" s="363" t="s">
        <v>309</v>
      </c>
      <c r="D84" s="24">
        <v>0.54</v>
      </c>
      <c r="E84" s="235">
        <v>473.73</v>
      </c>
      <c r="F84" s="234"/>
      <c r="G84" s="234"/>
      <c r="H84" s="153">
        <f>H83-E84</f>
        <v>2848607.5099999979</v>
      </c>
      <c r="I84" s="376" t="s">
        <v>25</v>
      </c>
    </row>
    <row r="85" spans="2:9" ht="15" thickBot="1">
      <c r="B85" s="231">
        <v>46243</v>
      </c>
      <c r="C85" s="363" t="s">
        <v>309</v>
      </c>
      <c r="D85" s="24">
        <v>0.49</v>
      </c>
      <c r="E85" s="235">
        <v>430.82</v>
      </c>
      <c r="F85" s="234"/>
      <c r="G85" s="234"/>
      <c r="H85" s="153">
        <f t="shared" ref="H85:H86" si="15">H84-E85</f>
        <v>2848176.6899999981</v>
      </c>
      <c r="I85" s="376" t="s">
        <v>25</v>
      </c>
    </row>
    <row r="86" spans="2:9" ht="15" thickBot="1">
      <c r="B86" s="231">
        <v>46243</v>
      </c>
      <c r="C86" s="363" t="s">
        <v>309</v>
      </c>
      <c r="D86" s="24">
        <v>0.04</v>
      </c>
      <c r="E86" s="235">
        <v>38.450000000000003</v>
      </c>
      <c r="F86" s="234"/>
      <c r="G86" s="234"/>
      <c r="H86" s="153">
        <f t="shared" si="15"/>
        <v>2848138.2399999979</v>
      </c>
      <c r="I86" s="376" t="s">
        <v>25</v>
      </c>
    </row>
    <row r="87" spans="2:9" ht="15" thickBot="1">
      <c r="B87" s="69">
        <v>46244</v>
      </c>
      <c r="C87" s="70" t="s">
        <v>343</v>
      </c>
      <c r="D87" s="72"/>
      <c r="E87" s="73"/>
      <c r="F87" s="70">
        <v>17.16</v>
      </c>
      <c r="G87" s="72">
        <v>15184.56</v>
      </c>
      <c r="H87" s="74">
        <f>H86+G87</f>
        <v>2863322.799999998</v>
      </c>
      <c r="I87" s="75" t="s">
        <v>13</v>
      </c>
    </row>
    <row r="88" spans="2:9" ht="15" thickBot="1">
      <c r="B88" s="69">
        <v>46244</v>
      </c>
      <c r="C88" s="70" t="s">
        <v>344</v>
      </c>
      <c r="D88" s="72"/>
      <c r="E88" s="73"/>
      <c r="F88" s="70">
        <v>2.9</v>
      </c>
      <c r="G88" s="72">
        <v>2566.14</v>
      </c>
      <c r="H88" s="74">
        <f>H87+G88</f>
        <v>2865888.9399999981</v>
      </c>
      <c r="I88" s="75" t="s">
        <v>13</v>
      </c>
    </row>
    <row r="89" spans="2:9" ht="15" thickBot="1">
      <c r="B89" s="231">
        <v>46244</v>
      </c>
      <c r="C89" s="363" t="s">
        <v>309</v>
      </c>
      <c r="D89" s="24">
        <v>0.26</v>
      </c>
      <c r="E89" s="235">
        <v>227.76</v>
      </c>
      <c r="F89" s="234"/>
      <c r="G89" s="234"/>
      <c r="H89" s="153">
        <f>H88-E89</f>
        <v>2865661.1799999983</v>
      </c>
      <c r="I89" s="376" t="s">
        <v>25</v>
      </c>
    </row>
    <row r="90" spans="2:9" ht="15" thickBot="1">
      <c r="B90" s="231">
        <v>46244</v>
      </c>
      <c r="C90" s="363" t="s">
        <v>309</v>
      </c>
      <c r="D90" s="24">
        <v>0.04</v>
      </c>
      <c r="E90" s="235">
        <v>38.49</v>
      </c>
      <c r="F90" s="234"/>
      <c r="G90" s="234"/>
      <c r="H90" s="153">
        <f>H89-E90</f>
        <v>2865622.6899999981</v>
      </c>
      <c r="I90" s="376" t="s">
        <v>25</v>
      </c>
    </row>
    <row r="91" spans="2:9" ht="15" thickBot="1">
      <c r="B91" s="231">
        <v>46244</v>
      </c>
      <c r="C91" s="448" t="s">
        <v>489</v>
      </c>
      <c r="D91" s="24">
        <v>41.94</v>
      </c>
      <c r="E91" s="235">
        <v>37119.949999999997</v>
      </c>
      <c r="F91" s="234"/>
      <c r="G91" s="234"/>
      <c r="H91" s="153">
        <f>H90-E91</f>
        <v>2828502.7399999979</v>
      </c>
      <c r="I91" s="376" t="s">
        <v>10</v>
      </c>
    </row>
    <row r="92" spans="2:9" ht="15" thickBot="1">
      <c r="B92" s="231">
        <v>46244</v>
      </c>
      <c r="C92" s="375" t="s">
        <v>31</v>
      </c>
      <c r="D92" s="24">
        <v>0.15</v>
      </c>
      <c r="E92" s="235">
        <v>111.35</v>
      </c>
      <c r="F92" s="234"/>
      <c r="G92" s="234"/>
      <c r="H92" s="153">
        <f>H91-E92</f>
        <v>2828391.3899999978</v>
      </c>
      <c r="I92" s="376" t="s">
        <v>25</v>
      </c>
    </row>
    <row r="93" spans="2:9" ht="29.5" thickBot="1">
      <c r="B93" s="69">
        <v>46244</v>
      </c>
      <c r="C93" s="378" t="s">
        <v>490</v>
      </c>
      <c r="D93" s="72"/>
      <c r="E93" s="73"/>
      <c r="F93" s="70">
        <v>29.67</v>
      </c>
      <c r="G93" s="72">
        <v>26256.3</v>
      </c>
      <c r="H93" s="74">
        <f>H92+G93</f>
        <v>2854647.6899999976</v>
      </c>
      <c r="I93" s="75" t="s">
        <v>10</v>
      </c>
    </row>
    <row r="94" spans="2:9" ht="29.5" thickBot="1">
      <c r="B94" s="69">
        <v>46244</v>
      </c>
      <c r="C94" s="378" t="s">
        <v>491</v>
      </c>
      <c r="D94" s="72"/>
      <c r="E94" s="73"/>
      <c r="F94" s="70">
        <v>4.75</v>
      </c>
      <c r="G94" s="72">
        <v>4201.25</v>
      </c>
      <c r="H94" s="74">
        <f>H93+G94</f>
        <v>2858848.9399999976</v>
      </c>
      <c r="I94" s="75" t="s">
        <v>10</v>
      </c>
    </row>
    <row r="95" spans="2:9" ht="29.5" thickBot="1">
      <c r="B95" s="231">
        <v>46244</v>
      </c>
      <c r="C95" s="449" t="s">
        <v>492</v>
      </c>
      <c r="D95" s="24">
        <v>70.61</v>
      </c>
      <c r="E95" s="235">
        <v>62492.37</v>
      </c>
      <c r="F95" s="234"/>
      <c r="G95" s="234"/>
      <c r="H95" s="153">
        <f>H94-E95</f>
        <v>2796356.5699999975</v>
      </c>
      <c r="I95" s="376" t="s">
        <v>10</v>
      </c>
    </row>
    <row r="96" spans="2:9" ht="15" thickBot="1">
      <c r="B96" s="231">
        <v>46244</v>
      </c>
      <c r="C96" s="379" t="s">
        <v>31</v>
      </c>
      <c r="D96" s="24">
        <v>0.21</v>
      </c>
      <c r="E96" s="24">
        <v>187.47</v>
      </c>
      <c r="F96" s="234"/>
      <c r="G96" s="234"/>
      <c r="H96" s="153">
        <f>H95-E96</f>
        <v>2796169.0999999973</v>
      </c>
      <c r="I96" s="380" t="s">
        <v>25</v>
      </c>
    </row>
    <row r="97" spans="2:9" ht="15" thickBot="1">
      <c r="B97" s="69">
        <v>46244</v>
      </c>
      <c r="C97" s="70" t="s">
        <v>493</v>
      </c>
      <c r="D97" s="72"/>
      <c r="E97" s="73"/>
      <c r="F97" s="381">
        <v>980.39</v>
      </c>
      <c r="G97" s="72">
        <v>867725.04</v>
      </c>
      <c r="H97" s="74">
        <f>H96+G97</f>
        <v>3663894.1399999973</v>
      </c>
      <c r="I97" s="75" t="s">
        <v>10</v>
      </c>
    </row>
    <row r="98" spans="2:9" ht="15" thickBot="1">
      <c r="B98" s="69">
        <v>46245</v>
      </c>
      <c r="C98" s="70" t="s">
        <v>350</v>
      </c>
      <c r="D98" s="72"/>
      <c r="E98" s="73"/>
      <c r="F98" s="70">
        <v>34.89</v>
      </c>
      <c r="G98" s="72">
        <v>30877.41</v>
      </c>
      <c r="H98" s="74">
        <f>H97+G98</f>
        <v>3694771.5499999975</v>
      </c>
      <c r="I98" s="75" t="s">
        <v>13</v>
      </c>
    </row>
    <row r="99" spans="2:9" ht="15" thickBot="1">
      <c r="B99" s="69">
        <v>46245</v>
      </c>
      <c r="C99" s="70" t="s">
        <v>342</v>
      </c>
      <c r="D99" s="72"/>
      <c r="E99" s="73"/>
      <c r="F99" s="70">
        <v>20.350000000000001</v>
      </c>
      <c r="G99" s="72">
        <v>18011.830000000002</v>
      </c>
      <c r="H99" s="74">
        <f t="shared" ref="H99:H100" si="16">H98+G99</f>
        <v>3712783.3799999976</v>
      </c>
      <c r="I99" s="75" t="s">
        <v>13</v>
      </c>
    </row>
    <row r="100" spans="2:9" ht="15" thickBot="1">
      <c r="B100" s="69">
        <v>46245</v>
      </c>
      <c r="C100" s="70" t="s">
        <v>351</v>
      </c>
      <c r="D100" s="72"/>
      <c r="E100" s="73"/>
      <c r="F100" s="70">
        <v>17.420000000000002</v>
      </c>
      <c r="G100" s="72">
        <v>15420.72</v>
      </c>
      <c r="H100" s="74">
        <f t="shared" si="16"/>
        <v>3728204.0999999978</v>
      </c>
      <c r="I100" s="75" t="s">
        <v>13</v>
      </c>
    </row>
    <row r="101" spans="2:9" ht="15" thickBot="1">
      <c r="B101" s="231">
        <v>46245</v>
      </c>
      <c r="C101" s="363" t="s">
        <v>309</v>
      </c>
      <c r="D101" s="24">
        <v>0.52</v>
      </c>
      <c r="E101" s="235">
        <v>463.16</v>
      </c>
      <c r="F101" s="234"/>
      <c r="G101" s="234"/>
      <c r="H101" s="153">
        <f>H100-E101</f>
        <v>3727740.9399999976</v>
      </c>
      <c r="I101" s="380" t="s">
        <v>25</v>
      </c>
    </row>
    <row r="102" spans="2:9" ht="15" thickBot="1">
      <c r="B102" s="231">
        <v>46245</v>
      </c>
      <c r="C102" s="363" t="s">
        <v>309</v>
      </c>
      <c r="D102" s="24">
        <v>0.31</v>
      </c>
      <c r="E102" s="235">
        <v>270.17</v>
      </c>
      <c r="F102" s="234"/>
      <c r="G102" s="234"/>
      <c r="H102" s="153">
        <f t="shared" ref="H102:H103" si="17">H101-E102</f>
        <v>3727470.7699999977</v>
      </c>
      <c r="I102" s="380" t="s">
        <v>25</v>
      </c>
    </row>
    <row r="103" spans="2:9" ht="15" thickBot="1">
      <c r="B103" s="231">
        <v>46245</v>
      </c>
      <c r="C103" s="363" t="s">
        <v>309</v>
      </c>
      <c r="D103" s="24">
        <v>0.26</v>
      </c>
      <c r="E103" s="235">
        <v>231.31</v>
      </c>
      <c r="F103" s="234"/>
      <c r="G103" s="234"/>
      <c r="H103" s="153">
        <f t="shared" si="17"/>
        <v>3727239.4599999976</v>
      </c>
      <c r="I103" s="380" t="s">
        <v>25</v>
      </c>
    </row>
    <row r="104" spans="2:9" ht="15" thickBot="1">
      <c r="B104" s="69">
        <v>46245</v>
      </c>
      <c r="C104" s="70" t="s">
        <v>494</v>
      </c>
      <c r="D104" s="72"/>
      <c r="E104" s="73"/>
      <c r="F104" s="381">
        <v>5151.3500000000004</v>
      </c>
      <c r="G104" s="72">
        <v>3950362.78</v>
      </c>
      <c r="H104" s="74">
        <f>H103+G104</f>
        <v>7677602.2399999974</v>
      </c>
      <c r="I104" s="75" t="s">
        <v>10</v>
      </c>
    </row>
    <row r="105" spans="2:9" ht="15" thickBot="1">
      <c r="B105" s="231">
        <v>46245</v>
      </c>
      <c r="C105" s="448" t="s">
        <v>495</v>
      </c>
      <c r="D105" s="24">
        <v>86</v>
      </c>
      <c r="E105" s="235">
        <v>76121</v>
      </c>
      <c r="F105" s="234"/>
      <c r="G105" s="234"/>
      <c r="H105" s="153">
        <f t="shared" ref="H105:H110" si="18">H104-E105</f>
        <v>7601481.2399999974</v>
      </c>
      <c r="I105" s="380" t="s">
        <v>13</v>
      </c>
    </row>
    <row r="106" spans="2:9" ht="29.5" thickBot="1">
      <c r="B106" s="231">
        <v>46245</v>
      </c>
      <c r="C106" s="404" t="s">
        <v>417</v>
      </c>
      <c r="D106" s="24">
        <v>427.91</v>
      </c>
      <c r="E106" s="235">
        <v>380608.35</v>
      </c>
      <c r="F106" s="234"/>
      <c r="G106" s="234"/>
      <c r="H106" s="153">
        <f t="shared" si="18"/>
        <v>7220872.8899999978</v>
      </c>
      <c r="I106" s="383" t="s">
        <v>10</v>
      </c>
    </row>
    <row r="107" spans="2:9" ht="15" thickBot="1">
      <c r="B107" s="231">
        <v>46245</v>
      </c>
      <c r="C107" s="382" t="s">
        <v>31</v>
      </c>
      <c r="D107" s="24">
        <v>1.28</v>
      </c>
      <c r="E107" s="235">
        <v>1141.82</v>
      </c>
      <c r="F107" s="234"/>
      <c r="G107" s="234"/>
      <c r="H107" s="153">
        <f t="shared" si="18"/>
        <v>7219731.0699999975</v>
      </c>
      <c r="I107" s="383" t="s">
        <v>25</v>
      </c>
    </row>
    <row r="108" spans="2:9" ht="29.5" thickBot="1">
      <c r="B108" s="231">
        <v>46245</v>
      </c>
      <c r="C108" s="404" t="s">
        <v>416</v>
      </c>
      <c r="D108" s="24">
        <v>69.489999999999995</v>
      </c>
      <c r="E108" s="235">
        <v>61810.8</v>
      </c>
      <c r="F108" s="234"/>
      <c r="G108" s="234"/>
      <c r="H108" s="153">
        <f t="shared" si="18"/>
        <v>7157920.2699999977</v>
      </c>
      <c r="I108" s="383" t="s">
        <v>10</v>
      </c>
    </row>
    <row r="109" spans="2:9" ht="15" thickBot="1">
      <c r="B109" s="231">
        <v>46245</v>
      </c>
      <c r="C109" s="382" t="s">
        <v>31</v>
      </c>
      <c r="D109" s="24">
        <v>0.21</v>
      </c>
      <c r="E109" s="235">
        <v>185.43</v>
      </c>
      <c r="F109" s="234"/>
      <c r="G109" s="234"/>
      <c r="H109" s="153">
        <f t="shared" si="18"/>
        <v>7157734.839999998</v>
      </c>
      <c r="I109" s="383" t="s">
        <v>25</v>
      </c>
    </row>
    <row r="110" spans="2:9" ht="29.5" thickBot="1">
      <c r="B110" s="231">
        <v>46245</v>
      </c>
      <c r="C110" s="449" t="s">
        <v>496</v>
      </c>
      <c r="D110" s="24">
        <v>17.12</v>
      </c>
      <c r="E110" s="235">
        <v>15224.33</v>
      </c>
      <c r="F110" s="234"/>
      <c r="G110" s="234"/>
      <c r="H110" s="153">
        <f t="shared" si="18"/>
        <v>7142510.5099999979</v>
      </c>
      <c r="I110" s="383" t="s">
        <v>10</v>
      </c>
    </row>
    <row r="111" spans="2:9" ht="15" thickBot="1">
      <c r="B111" s="69">
        <v>46245</v>
      </c>
      <c r="C111" s="70" t="s">
        <v>497</v>
      </c>
      <c r="D111" s="72"/>
      <c r="E111" s="73"/>
      <c r="F111" s="72">
        <v>104.4</v>
      </c>
      <c r="G111" s="72">
        <v>92859.35</v>
      </c>
      <c r="H111" s="74">
        <f>H110+G111</f>
        <v>7235369.8599999975</v>
      </c>
      <c r="I111" s="75" t="s">
        <v>10</v>
      </c>
    </row>
    <row r="112" spans="2:9" ht="15" thickBot="1">
      <c r="B112" s="69">
        <v>46246</v>
      </c>
      <c r="C112" s="70" t="s">
        <v>344</v>
      </c>
      <c r="D112" s="72"/>
      <c r="E112" s="73"/>
      <c r="F112" s="70">
        <v>43.14</v>
      </c>
      <c r="G112" s="72">
        <v>38585.07</v>
      </c>
      <c r="H112" s="74">
        <f t="shared" ref="H112:H114" si="19">H111+G112</f>
        <v>7273954.9299999978</v>
      </c>
      <c r="I112" s="75" t="s">
        <v>13</v>
      </c>
    </row>
    <row r="113" spans="2:9" ht="15" thickBot="1">
      <c r="B113" s="69">
        <v>46246</v>
      </c>
      <c r="C113" s="70" t="s">
        <v>359</v>
      </c>
      <c r="D113" s="72"/>
      <c r="E113" s="73"/>
      <c r="F113" s="70">
        <v>37.57</v>
      </c>
      <c r="G113" s="72">
        <v>33602.879999999997</v>
      </c>
      <c r="H113" s="74">
        <f t="shared" si="19"/>
        <v>7307557.8099999977</v>
      </c>
      <c r="I113" s="75" t="s">
        <v>13</v>
      </c>
    </row>
    <row r="114" spans="2:9" ht="15" thickBot="1">
      <c r="B114" s="69">
        <v>46246</v>
      </c>
      <c r="C114" s="70" t="s">
        <v>360</v>
      </c>
      <c r="D114" s="72"/>
      <c r="E114" s="73"/>
      <c r="F114" s="70">
        <v>14.46</v>
      </c>
      <c r="G114" s="72">
        <v>12930.71</v>
      </c>
      <c r="H114" s="74">
        <f t="shared" si="19"/>
        <v>7320488.5199999977</v>
      </c>
      <c r="I114" s="75" t="s">
        <v>13</v>
      </c>
    </row>
    <row r="115" spans="2:9" ht="15" thickBot="1">
      <c r="B115" s="231">
        <v>46246</v>
      </c>
      <c r="C115" s="363" t="s">
        <v>309</v>
      </c>
      <c r="D115" s="24">
        <v>0.65</v>
      </c>
      <c r="E115" s="235">
        <v>578.77</v>
      </c>
      <c r="F115" s="234"/>
      <c r="G115" s="234"/>
      <c r="H115" s="153">
        <f>H114-E115</f>
        <v>7319909.7499999981</v>
      </c>
      <c r="I115" s="385" t="s">
        <v>25</v>
      </c>
    </row>
    <row r="116" spans="2:9" ht="15" thickBot="1">
      <c r="B116" s="231">
        <v>46246</v>
      </c>
      <c r="C116" s="363" t="s">
        <v>309</v>
      </c>
      <c r="D116" s="24">
        <v>0.56000000000000005</v>
      </c>
      <c r="E116" s="235">
        <v>504.04</v>
      </c>
      <c r="F116" s="234"/>
      <c r="G116" s="234"/>
      <c r="H116" s="153">
        <f t="shared" ref="H116:H117" si="20">H115-E116</f>
        <v>7319405.7099999981</v>
      </c>
      <c r="I116" s="385" t="s">
        <v>25</v>
      </c>
    </row>
    <row r="117" spans="2:9" ht="15" thickBot="1">
      <c r="B117" s="231">
        <v>46246</v>
      </c>
      <c r="C117" s="363" t="s">
        <v>309</v>
      </c>
      <c r="D117" s="24">
        <v>0.22</v>
      </c>
      <c r="E117" s="235">
        <v>193.96</v>
      </c>
      <c r="F117" s="234"/>
      <c r="G117" s="234"/>
      <c r="H117" s="153">
        <f t="shared" si="20"/>
        <v>7319211.7499999981</v>
      </c>
      <c r="I117" s="385" t="s">
        <v>25</v>
      </c>
    </row>
    <row r="118" spans="2:9" ht="15" thickBot="1">
      <c r="B118" s="69">
        <v>46246</v>
      </c>
      <c r="C118" s="70" t="s">
        <v>498</v>
      </c>
      <c r="D118" s="72"/>
      <c r="E118" s="73"/>
      <c r="F118" s="70">
        <v>75.209999999999994</v>
      </c>
      <c r="G118" s="72">
        <v>67270.27</v>
      </c>
      <c r="H118" s="74">
        <f>H117+G118</f>
        <v>7386482.0199999977</v>
      </c>
      <c r="I118" s="75" t="s">
        <v>85</v>
      </c>
    </row>
    <row r="119" spans="2:9" ht="15" thickBot="1">
      <c r="B119" s="69">
        <v>46246</v>
      </c>
      <c r="C119" s="70" t="s">
        <v>499</v>
      </c>
      <c r="D119" s="72"/>
      <c r="E119" s="73"/>
      <c r="F119" s="70">
        <v>221.34</v>
      </c>
      <c r="G119" s="72">
        <v>197986.96</v>
      </c>
      <c r="H119" s="74">
        <f>H118+G119</f>
        <v>7584468.9799999977</v>
      </c>
      <c r="I119" s="75" t="s">
        <v>10</v>
      </c>
    </row>
    <row r="120" spans="2:9" ht="15" thickBot="1">
      <c r="B120" s="231">
        <v>46246</v>
      </c>
      <c r="C120" s="448" t="s">
        <v>500</v>
      </c>
      <c r="D120" s="24">
        <v>8.1999999999999993</v>
      </c>
      <c r="E120" s="235">
        <v>7331.71</v>
      </c>
      <c r="F120" s="234"/>
      <c r="G120" s="234"/>
      <c r="H120" s="153">
        <f>H119-E120</f>
        <v>7577137.2699999977</v>
      </c>
      <c r="I120" s="385" t="s">
        <v>10</v>
      </c>
    </row>
    <row r="121" spans="2:9" ht="15" thickBot="1">
      <c r="B121" s="231">
        <v>46246</v>
      </c>
      <c r="C121" s="382" t="s">
        <v>31</v>
      </c>
      <c r="D121" s="24">
        <v>0.02</v>
      </c>
      <c r="E121" s="235">
        <v>21.99</v>
      </c>
      <c r="F121" s="234"/>
      <c r="G121" s="234"/>
      <c r="H121" s="153">
        <f>H120-E121</f>
        <v>7577115.2799999975</v>
      </c>
      <c r="I121" s="385" t="s">
        <v>25</v>
      </c>
    </row>
    <row r="122" spans="2:9" ht="15" thickBot="1">
      <c r="B122" s="231">
        <v>46246</v>
      </c>
      <c r="C122" s="448" t="s">
        <v>501</v>
      </c>
      <c r="D122" s="24">
        <v>144.77000000000001</v>
      </c>
      <c r="E122" s="235">
        <v>129494.51</v>
      </c>
      <c r="F122" s="234"/>
      <c r="G122" s="234"/>
      <c r="H122" s="153">
        <f>H121-E122</f>
        <v>7447620.7699999977</v>
      </c>
      <c r="I122" s="385" t="s">
        <v>10</v>
      </c>
    </row>
    <row r="123" spans="2:9" ht="15" thickBot="1">
      <c r="B123" s="231">
        <v>46246</v>
      </c>
      <c r="C123" s="386" t="s">
        <v>31</v>
      </c>
      <c r="D123" s="24">
        <v>0.43</v>
      </c>
      <c r="E123" s="235">
        <v>388.48</v>
      </c>
      <c r="F123" s="234"/>
      <c r="G123" s="234"/>
      <c r="H123" s="153">
        <f>H122-E123</f>
        <v>7447232.2899999972</v>
      </c>
      <c r="I123" s="385" t="s">
        <v>25</v>
      </c>
    </row>
    <row r="124" spans="2:9" ht="15" thickBot="1">
      <c r="B124" s="69">
        <v>46247</v>
      </c>
      <c r="C124" s="70" t="s">
        <v>350</v>
      </c>
      <c r="D124" s="72"/>
      <c r="E124" s="73"/>
      <c r="F124" s="70">
        <v>20.3</v>
      </c>
      <c r="G124" s="72">
        <v>18157.669999999998</v>
      </c>
      <c r="H124" s="74">
        <f>H123+G124</f>
        <v>7465389.9599999972</v>
      </c>
      <c r="I124" s="75" t="s">
        <v>13</v>
      </c>
    </row>
    <row r="125" spans="2:9" ht="15" thickBot="1">
      <c r="B125" s="69">
        <v>46247</v>
      </c>
      <c r="C125" s="70" t="s">
        <v>365</v>
      </c>
      <c r="D125" s="72"/>
      <c r="E125" s="73"/>
      <c r="F125" s="70">
        <v>11.6</v>
      </c>
      <c r="G125" s="72">
        <v>10375.81</v>
      </c>
      <c r="H125" s="74">
        <f t="shared" ref="H125:H126" si="21">H124+G125</f>
        <v>7475765.7699999968</v>
      </c>
      <c r="I125" s="75" t="s">
        <v>13</v>
      </c>
    </row>
    <row r="126" spans="2:9" ht="15" thickBot="1">
      <c r="B126" s="69">
        <v>46247</v>
      </c>
      <c r="C126" s="70" t="s">
        <v>366</v>
      </c>
      <c r="D126" s="72"/>
      <c r="E126" s="73"/>
      <c r="F126" s="70">
        <v>8.6999999999999993</v>
      </c>
      <c r="G126" s="72">
        <v>7781.86</v>
      </c>
      <c r="H126" s="74">
        <f t="shared" si="21"/>
        <v>7483547.6299999971</v>
      </c>
      <c r="I126" s="75" t="s">
        <v>13</v>
      </c>
    </row>
    <row r="127" spans="2:9" ht="15" thickBot="1">
      <c r="B127" s="231">
        <v>46247</v>
      </c>
      <c r="C127" s="363" t="s">
        <v>309</v>
      </c>
      <c r="D127" s="24">
        <v>0.3</v>
      </c>
      <c r="E127" s="235">
        <v>272.36</v>
      </c>
      <c r="F127" s="234"/>
      <c r="G127" s="234"/>
      <c r="H127" s="153">
        <f>H126-E127</f>
        <v>7483275.2699999968</v>
      </c>
      <c r="I127" s="385" t="s">
        <v>25</v>
      </c>
    </row>
    <row r="128" spans="2:9" ht="15" thickBot="1">
      <c r="B128" s="231">
        <v>46247</v>
      </c>
      <c r="C128" s="363" t="s">
        <v>309</v>
      </c>
      <c r="D128" s="24">
        <v>0.17</v>
      </c>
      <c r="E128" s="235">
        <v>155.63</v>
      </c>
      <c r="F128" s="234"/>
      <c r="G128" s="234"/>
      <c r="H128" s="153">
        <f t="shared" ref="H128:H132" si="22">H127-E128</f>
        <v>7483119.6399999969</v>
      </c>
      <c r="I128" s="385" t="s">
        <v>25</v>
      </c>
    </row>
    <row r="129" spans="1:9" ht="15" thickBot="1">
      <c r="B129" s="231">
        <v>46247</v>
      </c>
      <c r="C129" s="363" t="s">
        <v>309</v>
      </c>
      <c r="D129" s="24">
        <v>0.13</v>
      </c>
      <c r="E129" s="235">
        <v>116.72</v>
      </c>
      <c r="F129" s="234"/>
      <c r="G129" s="234"/>
      <c r="H129" s="153">
        <f t="shared" si="22"/>
        <v>7483002.9199999971</v>
      </c>
      <c r="I129" s="385" t="s">
        <v>25</v>
      </c>
    </row>
    <row r="130" spans="1:9" ht="15" thickBot="1">
      <c r="A130" t="s">
        <v>357</v>
      </c>
      <c r="B130" s="231">
        <v>46247</v>
      </c>
      <c r="C130" s="386" t="s">
        <v>51</v>
      </c>
      <c r="D130" s="24">
        <v>24.86</v>
      </c>
      <c r="E130" s="244">
        <v>22239</v>
      </c>
      <c r="F130" s="234"/>
      <c r="G130" s="234"/>
      <c r="H130" s="153">
        <f t="shared" si="22"/>
        <v>7460763.9199999971</v>
      </c>
      <c r="I130" s="385" t="s">
        <v>13</v>
      </c>
    </row>
    <row r="131" spans="1:9" ht="15" thickBot="1">
      <c r="B131" s="231">
        <v>46247</v>
      </c>
      <c r="C131" s="386" t="s">
        <v>367</v>
      </c>
      <c r="D131" s="24">
        <v>10.67</v>
      </c>
      <c r="E131" s="235">
        <v>9542.11</v>
      </c>
      <c r="F131" s="234"/>
      <c r="G131" s="234"/>
      <c r="H131" s="153">
        <f t="shared" si="22"/>
        <v>7451221.8099999968</v>
      </c>
      <c r="I131" s="385" t="s">
        <v>13</v>
      </c>
    </row>
    <row r="132" spans="1:9" ht="15" thickBot="1">
      <c r="B132" s="231">
        <v>46247</v>
      </c>
      <c r="C132" s="386" t="s">
        <v>368</v>
      </c>
      <c r="D132" s="24">
        <v>9.86</v>
      </c>
      <c r="E132" s="235">
        <v>8818.89</v>
      </c>
      <c r="F132" s="234"/>
      <c r="G132" s="234"/>
      <c r="H132" s="153">
        <f t="shared" si="22"/>
        <v>7442402.9199999971</v>
      </c>
      <c r="I132" s="385" t="s">
        <v>13</v>
      </c>
    </row>
    <row r="133" spans="1:9" ht="15" thickBot="1">
      <c r="B133" s="69">
        <v>46247</v>
      </c>
      <c r="C133" s="70" t="s">
        <v>502</v>
      </c>
      <c r="D133" s="72"/>
      <c r="E133" s="73"/>
      <c r="F133" s="70">
        <v>504.88</v>
      </c>
      <c r="G133" s="72">
        <v>451608.67</v>
      </c>
      <c r="H133" s="74">
        <f>H132+G133</f>
        <v>7894011.5899999971</v>
      </c>
      <c r="I133" s="75" t="s">
        <v>10</v>
      </c>
    </row>
    <row r="134" spans="1:9" ht="29.5" thickBot="1">
      <c r="B134" s="231">
        <v>46247</v>
      </c>
      <c r="C134" s="449" t="s">
        <v>503</v>
      </c>
      <c r="D134" s="24">
        <v>74.209999999999994</v>
      </c>
      <c r="E134" s="235">
        <v>66381</v>
      </c>
      <c r="F134" s="234"/>
      <c r="G134" s="234"/>
      <c r="H134" s="153">
        <f t="shared" ref="H134:H139" si="23">H133-E134</f>
        <v>7827630.5899999971</v>
      </c>
      <c r="I134" s="385" t="s">
        <v>10</v>
      </c>
    </row>
    <row r="135" spans="1:9" ht="15" thickBot="1">
      <c r="B135" s="231">
        <v>46247</v>
      </c>
      <c r="C135" s="386" t="s">
        <v>31</v>
      </c>
      <c r="D135" s="24">
        <v>0.22</v>
      </c>
      <c r="E135" s="235">
        <v>199.14</v>
      </c>
      <c r="F135" s="234"/>
      <c r="G135" s="234"/>
      <c r="H135" s="153">
        <f t="shared" si="23"/>
        <v>7827431.4499999974</v>
      </c>
      <c r="I135" s="385" t="s">
        <v>25</v>
      </c>
    </row>
    <row r="136" spans="1:9" ht="29.5" thickBot="1">
      <c r="A136" s="420" t="s">
        <v>357</v>
      </c>
      <c r="B136" s="231">
        <v>46247</v>
      </c>
      <c r="C136" s="419" t="s">
        <v>449</v>
      </c>
      <c r="D136" s="24">
        <v>148.68</v>
      </c>
      <c r="E136" s="235">
        <v>132996.9</v>
      </c>
      <c r="F136" s="234"/>
      <c r="G136" s="234"/>
      <c r="H136" s="153">
        <f t="shared" si="23"/>
        <v>7694434.549999997</v>
      </c>
      <c r="I136" s="385" t="s">
        <v>10</v>
      </c>
    </row>
    <row r="137" spans="1:9" ht="15" thickBot="1">
      <c r="B137" s="231">
        <v>46247</v>
      </c>
      <c r="C137" s="386" t="s">
        <v>31</v>
      </c>
      <c r="D137" s="24">
        <v>0.45</v>
      </c>
      <c r="E137" s="235">
        <v>398.99</v>
      </c>
      <c r="F137" s="234"/>
      <c r="G137" s="234"/>
      <c r="H137" s="153">
        <f t="shared" si="23"/>
        <v>7694035.5599999968</v>
      </c>
      <c r="I137" s="385" t="s">
        <v>25</v>
      </c>
    </row>
    <row r="138" spans="1:9" ht="15" thickBot="1">
      <c r="B138" s="231">
        <v>46247</v>
      </c>
      <c r="C138" s="448" t="s">
        <v>504</v>
      </c>
      <c r="D138" s="24">
        <v>12.84</v>
      </c>
      <c r="E138" s="235">
        <v>9918</v>
      </c>
      <c r="F138" s="234"/>
      <c r="G138" s="234"/>
      <c r="H138" s="153">
        <f t="shared" si="23"/>
        <v>7684117.5599999968</v>
      </c>
      <c r="I138" s="385" t="s">
        <v>10</v>
      </c>
    </row>
    <row r="139" spans="1:9" ht="15" thickBot="1">
      <c r="B139" s="231">
        <v>46247</v>
      </c>
      <c r="C139" s="386" t="s">
        <v>31</v>
      </c>
      <c r="D139" s="24">
        <v>0.04</v>
      </c>
      <c r="E139" s="235">
        <v>29.75</v>
      </c>
      <c r="F139" s="234"/>
      <c r="G139" s="234"/>
      <c r="H139" s="153">
        <f t="shared" si="23"/>
        <v>7684087.8099999968</v>
      </c>
      <c r="I139" s="385" t="s">
        <v>25</v>
      </c>
    </row>
    <row r="140" spans="1:9" ht="15" thickBot="1">
      <c r="B140" s="69">
        <v>46247</v>
      </c>
      <c r="C140" s="70" t="s">
        <v>505</v>
      </c>
      <c r="D140" s="72"/>
      <c r="E140" s="73"/>
      <c r="F140" s="70">
        <v>87.64</v>
      </c>
      <c r="G140" s="72">
        <v>67708.570000000007</v>
      </c>
      <c r="H140" s="74">
        <f>H139+G140</f>
        <v>7751796.3799999971</v>
      </c>
      <c r="I140" s="75" t="s">
        <v>10</v>
      </c>
    </row>
    <row r="141" spans="1:9" ht="15" thickBot="1">
      <c r="B141" s="69">
        <v>46248</v>
      </c>
      <c r="C141" s="70" t="s">
        <v>359</v>
      </c>
      <c r="D141" s="72"/>
      <c r="E141" s="73"/>
      <c r="F141" s="70">
        <v>36.07</v>
      </c>
      <c r="G141" s="72">
        <v>27863.81</v>
      </c>
      <c r="H141" s="74">
        <f t="shared" ref="H141:H143" si="24">H140+G141</f>
        <v>7779660.1899999967</v>
      </c>
      <c r="I141" s="75" t="s">
        <v>13</v>
      </c>
    </row>
    <row r="142" spans="1:9" ht="15" thickBot="1">
      <c r="B142" s="69">
        <v>46248</v>
      </c>
      <c r="C142" s="70" t="s">
        <v>372</v>
      </c>
      <c r="D142" s="72"/>
      <c r="E142" s="73"/>
      <c r="F142" s="70">
        <v>33.68</v>
      </c>
      <c r="G142" s="72">
        <v>26021.360000000001</v>
      </c>
      <c r="H142" s="74">
        <f t="shared" si="24"/>
        <v>7805681.549999997</v>
      </c>
      <c r="I142" s="75" t="s">
        <v>13</v>
      </c>
    </row>
    <row r="143" spans="1:9" ht="15" thickBot="1">
      <c r="B143" s="69">
        <v>46248</v>
      </c>
      <c r="C143" s="70" t="s">
        <v>373</v>
      </c>
      <c r="D143" s="72"/>
      <c r="E143" s="73"/>
      <c r="F143" s="70">
        <v>23.64</v>
      </c>
      <c r="G143" s="72">
        <v>18260.07</v>
      </c>
      <c r="H143" s="74">
        <f t="shared" si="24"/>
        <v>7823941.6199999973</v>
      </c>
      <c r="I143" s="75" t="s">
        <v>13</v>
      </c>
    </row>
    <row r="144" spans="1:9" ht="15" thickBot="1">
      <c r="B144" s="231">
        <v>46248</v>
      </c>
      <c r="C144" s="363" t="s">
        <v>309</v>
      </c>
      <c r="D144" s="24">
        <v>0.54</v>
      </c>
      <c r="E144" s="235">
        <v>417.95</v>
      </c>
      <c r="F144" s="234"/>
      <c r="G144" s="234"/>
      <c r="H144" s="153">
        <f>H143-E144</f>
        <v>7823523.6699999971</v>
      </c>
      <c r="I144" s="385" t="s">
        <v>25</v>
      </c>
    </row>
    <row r="145" spans="2:9" ht="15" thickBot="1">
      <c r="B145" s="231">
        <v>46248</v>
      </c>
      <c r="C145" s="363" t="s">
        <v>309</v>
      </c>
      <c r="D145" s="24">
        <v>0.51</v>
      </c>
      <c r="E145" s="235">
        <v>390.32</v>
      </c>
      <c r="F145" s="234"/>
      <c r="G145" s="234"/>
      <c r="H145" s="153">
        <f t="shared" ref="H145:H153" si="25">H144-E145</f>
        <v>7823133.3499999968</v>
      </c>
      <c r="I145" s="385" t="s">
        <v>25</v>
      </c>
    </row>
    <row r="146" spans="2:9" ht="15" thickBot="1">
      <c r="B146" s="231">
        <v>46248</v>
      </c>
      <c r="C146" s="363" t="s">
        <v>309</v>
      </c>
      <c r="D146" s="24">
        <v>0.35</v>
      </c>
      <c r="E146" s="235">
        <v>273.89999999999998</v>
      </c>
      <c r="F146" s="234"/>
      <c r="G146" s="234"/>
      <c r="H146" s="153">
        <f t="shared" si="25"/>
        <v>7822859.4499999965</v>
      </c>
      <c r="I146" s="385" t="s">
        <v>25</v>
      </c>
    </row>
    <row r="147" spans="2:9" s="357" customFormat="1" ht="29.5" thickBot="1">
      <c r="B147" s="231">
        <v>46248</v>
      </c>
      <c r="C147" s="429" t="s">
        <v>467</v>
      </c>
      <c r="D147" s="24">
        <v>69.87</v>
      </c>
      <c r="E147" s="235">
        <v>53975</v>
      </c>
      <c r="F147" s="234"/>
      <c r="G147" s="234"/>
      <c r="H147" s="153">
        <f t="shared" si="25"/>
        <v>7768884.4499999965</v>
      </c>
      <c r="I147" s="385" t="s">
        <v>10</v>
      </c>
    </row>
    <row r="148" spans="2:9" ht="15" thickBot="1">
      <c r="B148" s="231">
        <v>46248</v>
      </c>
      <c r="C148" s="386" t="s">
        <v>31</v>
      </c>
      <c r="D148" s="24">
        <v>0.21</v>
      </c>
      <c r="E148" s="235">
        <v>161.91999999999999</v>
      </c>
      <c r="F148" s="234"/>
      <c r="G148" s="234"/>
      <c r="H148" s="153">
        <f t="shared" si="25"/>
        <v>7768722.5299999965</v>
      </c>
      <c r="I148" s="385" t="s">
        <v>25</v>
      </c>
    </row>
    <row r="149" spans="2:9" ht="29.5" thickBot="1">
      <c r="B149" s="231">
        <v>46248</v>
      </c>
      <c r="C149" s="449" t="s">
        <v>506</v>
      </c>
      <c r="D149" s="24">
        <v>1482.22</v>
      </c>
      <c r="E149" s="235">
        <v>1325827.81</v>
      </c>
      <c r="F149" s="234"/>
      <c r="G149" s="234"/>
      <c r="H149" s="153">
        <f t="shared" si="25"/>
        <v>6442894.7199999969</v>
      </c>
      <c r="I149" s="385" t="s">
        <v>10</v>
      </c>
    </row>
    <row r="150" spans="2:9" ht="15" thickBot="1">
      <c r="B150" s="231">
        <v>46248</v>
      </c>
      <c r="C150" s="386" t="s">
        <v>31</v>
      </c>
      <c r="D150" s="24">
        <v>4.45</v>
      </c>
      <c r="E150" s="235">
        <v>3977.48</v>
      </c>
      <c r="F150" s="234"/>
      <c r="G150" s="234"/>
      <c r="H150" s="153">
        <f t="shared" si="25"/>
        <v>6438917.2399999965</v>
      </c>
      <c r="I150" s="385" t="s">
        <v>25</v>
      </c>
    </row>
    <row r="151" spans="2:9" ht="29.5" thickBot="1">
      <c r="B151" s="231">
        <v>46248</v>
      </c>
      <c r="C151" s="449" t="s">
        <v>507</v>
      </c>
      <c r="D151" s="24">
        <v>1482.22</v>
      </c>
      <c r="E151" s="235">
        <v>1325827.81</v>
      </c>
      <c r="F151" s="234"/>
      <c r="G151" s="234"/>
      <c r="H151" s="153">
        <f t="shared" si="25"/>
        <v>5113089.429999996</v>
      </c>
      <c r="I151" s="385" t="s">
        <v>10</v>
      </c>
    </row>
    <row r="152" spans="2:9" ht="15" thickBot="1">
      <c r="B152" s="231">
        <v>46248</v>
      </c>
      <c r="C152" s="386" t="s">
        <v>31</v>
      </c>
      <c r="D152" s="24">
        <v>4.45</v>
      </c>
      <c r="E152" s="235">
        <v>3977.48</v>
      </c>
      <c r="F152" s="234"/>
      <c r="G152" s="234"/>
      <c r="H152" s="153">
        <f t="shared" si="25"/>
        <v>5109111.9499999955</v>
      </c>
      <c r="I152" s="385" t="s">
        <v>25</v>
      </c>
    </row>
    <row r="153" spans="2:9" ht="29.5" thickBot="1">
      <c r="B153" s="231">
        <v>46248</v>
      </c>
      <c r="C153" s="449" t="s">
        <v>508</v>
      </c>
      <c r="D153" s="24">
        <v>15</v>
      </c>
      <c r="E153" s="235">
        <v>13416.64</v>
      </c>
      <c r="F153" s="234"/>
      <c r="G153" s="234"/>
      <c r="H153" s="153">
        <f t="shared" si="25"/>
        <v>5095695.3099999959</v>
      </c>
      <c r="I153" s="385" t="s">
        <v>10</v>
      </c>
    </row>
    <row r="154" spans="2:9" ht="15" thickBot="1">
      <c r="B154" s="69">
        <v>46249</v>
      </c>
      <c r="C154" s="70" t="s">
        <v>378</v>
      </c>
      <c r="D154" s="72"/>
      <c r="E154" s="73"/>
      <c r="F154" s="70">
        <v>55.38</v>
      </c>
      <c r="G154" s="72">
        <v>49618.14</v>
      </c>
      <c r="H154" s="74">
        <f>H153+G154</f>
        <v>5145313.4499999955</v>
      </c>
      <c r="I154" s="75" t="s">
        <v>13</v>
      </c>
    </row>
    <row r="155" spans="2:9" ht="15" thickBot="1">
      <c r="B155" s="69">
        <v>46249</v>
      </c>
      <c r="C155" s="70" t="s">
        <v>366</v>
      </c>
      <c r="D155" s="72"/>
      <c r="E155" s="73"/>
      <c r="F155" s="70">
        <v>35.020000000000003</v>
      </c>
      <c r="G155" s="72">
        <v>31379.85</v>
      </c>
      <c r="H155" s="74">
        <f>H154+G155</f>
        <v>5176693.2999999952</v>
      </c>
      <c r="I155" s="75" t="s">
        <v>13</v>
      </c>
    </row>
    <row r="156" spans="2:9" ht="15" thickBot="1">
      <c r="B156" s="231">
        <v>46249</v>
      </c>
      <c r="C156" s="363" t="s">
        <v>309</v>
      </c>
      <c r="D156" s="24">
        <v>0.83</v>
      </c>
      <c r="E156" s="235">
        <v>744.27</v>
      </c>
      <c r="F156" s="234"/>
      <c r="G156" s="234"/>
      <c r="H156" s="153">
        <f>H155-E156</f>
        <v>5175949.0299999956</v>
      </c>
      <c r="I156" s="388" t="s">
        <v>25</v>
      </c>
    </row>
    <row r="157" spans="2:9" ht="15" thickBot="1">
      <c r="B157" s="231">
        <v>46249</v>
      </c>
      <c r="C157" s="363" t="s">
        <v>309</v>
      </c>
      <c r="D157" s="24">
        <v>0.53</v>
      </c>
      <c r="E157" s="235">
        <v>470.69</v>
      </c>
      <c r="F157" s="234"/>
      <c r="G157" s="234"/>
      <c r="H157" s="153">
        <f>H156-E157</f>
        <v>5175478.3399999952</v>
      </c>
      <c r="I157" s="388" t="s">
        <v>25</v>
      </c>
    </row>
    <row r="158" spans="2:9" ht="29.5" thickBot="1">
      <c r="B158" s="231">
        <v>46249</v>
      </c>
      <c r="C158" s="390" t="s">
        <v>379</v>
      </c>
      <c r="D158" s="24">
        <v>118.12</v>
      </c>
      <c r="E158" s="235">
        <v>105837.98</v>
      </c>
      <c r="F158" s="234"/>
      <c r="G158" s="234"/>
      <c r="H158" s="153">
        <f>H157-E158</f>
        <v>5069640.3599999947</v>
      </c>
      <c r="I158" s="388" t="s">
        <v>13</v>
      </c>
    </row>
    <row r="159" spans="2:9" ht="29.5" thickBot="1">
      <c r="B159" s="231">
        <v>46249</v>
      </c>
      <c r="C159" s="390" t="s">
        <v>380</v>
      </c>
      <c r="D159" s="24">
        <v>98.29</v>
      </c>
      <c r="E159" s="235">
        <v>88070.03</v>
      </c>
      <c r="F159" s="234"/>
      <c r="G159" s="234"/>
      <c r="H159" s="153">
        <f>H158-E159</f>
        <v>4981570.3299999945</v>
      </c>
      <c r="I159" s="388" t="s">
        <v>13</v>
      </c>
    </row>
    <row r="160" spans="2:9" ht="15" thickBot="1">
      <c r="B160" s="69">
        <v>46251</v>
      </c>
      <c r="C160" s="70" t="s">
        <v>381</v>
      </c>
      <c r="D160" s="72"/>
      <c r="E160" s="73"/>
      <c r="F160" s="70">
        <v>58.7</v>
      </c>
      <c r="G160" s="72">
        <v>52596.02</v>
      </c>
      <c r="H160" s="74">
        <f>H159+G160</f>
        <v>5034166.349999994</v>
      </c>
      <c r="I160" s="75" t="s">
        <v>13</v>
      </c>
    </row>
    <row r="161" spans="1:9" ht="15" thickBot="1">
      <c r="B161" s="69">
        <v>46251</v>
      </c>
      <c r="C161" s="70" t="s">
        <v>372</v>
      </c>
      <c r="D161" s="72"/>
      <c r="E161" s="73"/>
      <c r="F161" s="70">
        <v>14.67</v>
      </c>
      <c r="G161" s="72">
        <v>13149.01</v>
      </c>
      <c r="H161" s="74">
        <f t="shared" ref="H161:H163" si="26">H160+G161</f>
        <v>5047315.3599999938</v>
      </c>
      <c r="I161" s="75" t="s">
        <v>13</v>
      </c>
    </row>
    <row r="162" spans="1:9" ht="15" thickBot="1">
      <c r="B162" s="69">
        <v>46251</v>
      </c>
      <c r="C162" s="70" t="s">
        <v>382</v>
      </c>
      <c r="D162" s="72"/>
      <c r="E162" s="73"/>
      <c r="F162" s="70">
        <v>8.8000000000000007</v>
      </c>
      <c r="G162" s="72">
        <v>7889.41</v>
      </c>
      <c r="H162" s="74">
        <f t="shared" si="26"/>
        <v>5055204.769999994</v>
      </c>
      <c r="I162" s="75" t="s">
        <v>13</v>
      </c>
    </row>
    <row r="163" spans="1:9" ht="15" thickBot="1">
      <c r="B163" s="69">
        <v>46251</v>
      </c>
      <c r="C163" s="70" t="s">
        <v>378</v>
      </c>
      <c r="D163" s="72"/>
      <c r="E163" s="73"/>
      <c r="F163" s="70">
        <v>2.93</v>
      </c>
      <c r="G163" s="72">
        <v>2629.81</v>
      </c>
      <c r="H163" s="74">
        <f t="shared" si="26"/>
        <v>5057834.5799999936</v>
      </c>
      <c r="I163" s="75" t="s">
        <v>13</v>
      </c>
    </row>
    <row r="164" spans="1:9" ht="15" thickBot="1">
      <c r="B164" s="231">
        <v>46251</v>
      </c>
      <c r="C164" s="363" t="s">
        <v>309</v>
      </c>
      <c r="D164" s="24">
        <v>0.88</v>
      </c>
      <c r="E164" s="235">
        <v>788.94</v>
      </c>
      <c r="F164" s="234"/>
      <c r="G164" s="234"/>
      <c r="H164" s="153">
        <f>H163-E164</f>
        <v>5057045.6399999931</v>
      </c>
      <c r="I164" s="388" t="s">
        <v>25</v>
      </c>
    </row>
    <row r="165" spans="1:9" ht="15" thickBot="1">
      <c r="B165" s="231">
        <v>46251</v>
      </c>
      <c r="C165" s="363" t="s">
        <v>309</v>
      </c>
      <c r="D165" s="24">
        <v>0.22</v>
      </c>
      <c r="E165" s="235">
        <v>197.23</v>
      </c>
      <c r="F165" s="234"/>
      <c r="G165" s="234"/>
      <c r="H165" s="153">
        <f t="shared" ref="H165:H176" si="27">H164-E165</f>
        <v>5056848.4099999927</v>
      </c>
      <c r="I165" s="388" t="s">
        <v>25</v>
      </c>
    </row>
    <row r="166" spans="1:9" ht="15" thickBot="1">
      <c r="B166" s="231">
        <v>46251</v>
      </c>
      <c r="C166" s="363" t="s">
        <v>309</v>
      </c>
      <c r="D166" s="24">
        <v>0.13</v>
      </c>
      <c r="E166" s="235">
        <v>118.34</v>
      </c>
      <c r="F166" s="234"/>
      <c r="G166" s="234"/>
      <c r="H166" s="153">
        <f t="shared" si="27"/>
        <v>5056730.0699999928</v>
      </c>
      <c r="I166" s="388" t="s">
        <v>25</v>
      </c>
    </row>
    <row r="167" spans="1:9" ht="15" thickBot="1">
      <c r="B167" s="231">
        <v>46251</v>
      </c>
      <c r="C167" s="363" t="s">
        <v>309</v>
      </c>
      <c r="D167" s="24">
        <v>0.04</v>
      </c>
      <c r="E167" s="235">
        <v>39.44</v>
      </c>
      <c r="F167" s="234"/>
      <c r="G167" s="234"/>
      <c r="H167" s="153">
        <f t="shared" si="27"/>
        <v>5056690.6299999924</v>
      </c>
      <c r="I167" s="388" t="s">
        <v>25</v>
      </c>
    </row>
    <row r="168" spans="1:9" ht="15" thickBot="1">
      <c r="B168" s="231">
        <v>46251</v>
      </c>
      <c r="C168" s="389" t="s">
        <v>383</v>
      </c>
      <c r="D168" s="24">
        <v>20.04</v>
      </c>
      <c r="E168" s="235">
        <v>17953.830000000002</v>
      </c>
      <c r="F168" s="234"/>
      <c r="G168" s="234"/>
      <c r="H168" s="153">
        <f t="shared" si="27"/>
        <v>5038736.7999999924</v>
      </c>
      <c r="I168" s="388" t="s">
        <v>13</v>
      </c>
    </row>
    <row r="169" spans="1:9" ht="29.5" thickBot="1">
      <c r="A169" s="405" t="s">
        <v>357</v>
      </c>
      <c r="B169" s="231">
        <v>46251</v>
      </c>
      <c r="C169" s="449" t="s">
        <v>509</v>
      </c>
      <c r="D169" s="24">
        <v>34.49</v>
      </c>
      <c r="E169" s="235">
        <v>30901.759999999998</v>
      </c>
      <c r="F169" s="234"/>
      <c r="G169" s="234"/>
      <c r="H169" s="153">
        <f t="shared" si="27"/>
        <v>5007835.0399999926</v>
      </c>
      <c r="I169" s="388" t="s">
        <v>10</v>
      </c>
    </row>
    <row r="170" spans="1:9" ht="15" thickBot="1">
      <c r="B170" s="231">
        <v>46251</v>
      </c>
      <c r="C170" s="389" t="s">
        <v>31</v>
      </c>
      <c r="D170" s="24">
        <v>0.1</v>
      </c>
      <c r="E170" s="235">
        <v>92.7</v>
      </c>
      <c r="F170" s="234"/>
      <c r="G170" s="234"/>
      <c r="H170" s="153">
        <f t="shared" si="27"/>
        <v>5007742.3399999924</v>
      </c>
      <c r="I170" s="388" t="s">
        <v>25</v>
      </c>
    </row>
    <row r="171" spans="1:9" ht="15" thickBot="1">
      <c r="B171" s="231">
        <v>46251</v>
      </c>
      <c r="C171" s="448" t="s">
        <v>510</v>
      </c>
      <c r="D171" s="24">
        <v>1724.37</v>
      </c>
      <c r="E171" s="235">
        <v>1545088.2</v>
      </c>
      <c r="F171" s="234"/>
      <c r="G171" s="234"/>
      <c r="H171" s="153">
        <f t="shared" si="27"/>
        <v>3462654.1399999922</v>
      </c>
      <c r="I171" s="388" t="s">
        <v>10</v>
      </c>
    </row>
    <row r="172" spans="1:9" ht="15" thickBot="1">
      <c r="B172" s="231">
        <v>46251</v>
      </c>
      <c r="C172" s="389" t="s">
        <v>31</v>
      </c>
      <c r="D172" s="24">
        <v>5.17</v>
      </c>
      <c r="E172" s="235">
        <v>4635.26</v>
      </c>
      <c r="F172" s="234"/>
      <c r="G172" s="234"/>
      <c r="H172" s="153">
        <f t="shared" si="27"/>
        <v>3458018.8799999924</v>
      </c>
      <c r="I172" s="388" t="s">
        <v>25</v>
      </c>
    </row>
    <row r="173" spans="1:9" ht="29.5" thickBot="1">
      <c r="B173" s="231">
        <v>46251</v>
      </c>
      <c r="C173" s="449" t="s">
        <v>511</v>
      </c>
      <c r="D173" s="24">
        <v>431.09</v>
      </c>
      <c r="E173" s="235">
        <v>386272.05</v>
      </c>
      <c r="F173" s="234"/>
      <c r="G173" s="234"/>
      <c r="H173" s="153">
        <f t="shared" si="27"/>
        <v>3071746.8299999926</v>
      </c>
      <c r="I173" s="388" t="s">
        <v>10</v>
      </c>
    </row>
    <row r="174" spans="1:9" ht="15" thickBot="1">
      <c r="B174" s="231">
        <v>46251</v>
      </c>
      <c r="C174" s="389" t="s">
        <v>31</v>
      </c>
      <c r="D174" s="24">
        <v>1.29</v>
      </c>
      <c r="E174" s="235">
        <v>1158.81</v>
      </c>
      <c r="F174" s="234"/>
      <c r="G174" s="234"/>
      <c r="H174" s="153">
        <f t="shared" si="27"/>
        <v>3070588.0199999926</v>
      </c>
      <c r="I174" s="388" t="s">
        <v>25</v>
      </c>
    </row>
    <row r="175" spans="1:9" ht="29.5" thickBot="1">
      <c r="B175" s="231">
        <v>46251</v>
      </c>
      <c r="C175" s="449" t="s">
        <v>512</v>
      </c>
      <c r="D175" s="24">
        <v>43.11</v>
      </c>
      <c r="E175" s="235">
        <v>38627.199999999997</v>
      </c>
      <c r="F175" s="234"/>
      <c r="G175" s="234"/>
      <c r="H175" s="153">
        <f t="shared" si="27"/>
        <v>3031960.8199999924</v>
      </c>
      <c r="I175" s="388" t="s">
        <v>10</v>
      </c>
    </row>
    <row r="176" spans="1:9" ht="15" thickBot="1">
      <c r="B176" s="231">
        <v>46251</v>
      </c>
      <c r="C176" s="389" t="s">
        <v>31</v>
      </c>
      <c r="D176" s="24">
        <v>0.13</v>
      </c>
      <c r="E176" s="235">
        <v>115.88</v>
      </c>
      <c r="F176" s="234"/>
      <c r="G176" s="234"/>
      <c r="H176" s="153">
        <f t="shared" si="27"/>
        <v>3031844.9399999925</v>
      </c>
      <c r="I176" s="388" t="s">
        <v>25</v>
      </c>
    </row>
    <row r="177" spans="2:9" ht="29.5" thickBot="1">
      <c r="B177" s="69">
        <v>46251</v>
      </c>
      <c r="C177" s="378" t="s">
        <v>513</v>
      </c>
      <c r="D177" s="72"/>
      <c r="E177" s="73"/>
      <c r="F177" s="70">
        <v>18.149999999999999</v>
      </c>
      <c r="G177" s="72">
        <v>16260</v>
      </c>
      <c r="H177" s="74">
        <f>H176+G177</f>
        <v>3048104.9399999925</v>
      </c>
      <c r="I177" s="75" t="s">
        <v>388</v>
      </c>
    </row>
    <row r="178" spans="2:9" ht="29.5" thickBot="1">
      <c r="B178" s="231">
        <v>46251</v>
      </c>
      <c r="C178" s="449" t="s">
        <v>514</v>
      </c>
      <c r="D178" s="24">
        <v>20</v>
      </c>
      <c r="E178" s="235">
        <v>17922.93</v>
      </c>
      <c r="F178" s="234"/>
      <c r="G178" s="234"/>
      <c r="H178" s="153">
        <f>H177-E178</f>
        <v>3030182.0099999923</v>
      </c>
      <c r="I178" s="388" t="s">
        <v>10</v>
      </c>
    </row>
    <row r="179" spans="2:9" ht="15" thickBot="1">
      <c r="B179" s="231">
        <v>46251</v>
      </c>
      <c r="C179" s="389" t="s">
        <v>31</v>
      </c>
      <c r="D179" s="24">
        <v>7.0000000000000007E-2</v>
      </c>
      <c r="E179" s="235">
        <v>53.76</v>
      </c>
      <c r="F179" s="234"/>
      <c r="G179" s="234"/>
      <c r="H179" s="153">
        <f>H178-E179</f>
        <v>3030128.2499999925</v>
      </c>
      <c r="I179" s="388" t="s">
        <v>25</v>
      </c>
    </row>
    <row r="180" spans="2:9" ht="15" thickBot="1">
      <c r="B180" s="69">
        <v>46252</v>
      </c>
      <c r="C180" s="70" t="s">
        <v>515</v>
      </c>
      <c r="D180" s="72"/>
      <c r="E180" s="73"/>
      <c r="F180" s="381">
        <v>5469.21</v>
      </c>
      <c r="G180" s="72">
        <v>4900569.3899999997</v>
      </c>
      <c r="H180" s="74">
        <f>H179+G180</f>
        <v>7930697.6399999922</v>
      </c>
      <c r="I180" s="75" t="s">
        <v>10</v>
      </c>
    </row>
    <row r="181" spans="2:9" ht="15" thickBot="1">
      <c r="B181" s="69">
        <v>46252</v>
      </c>
      <c r="C181" s="70" t="s">
        <v>395</v>
      </c>
      <c r="D181" s="72"/>
      <c r="E181" s="73"/>
      <c r="F181" s="70">
        <v>49.32</v>
      </c>
      <c r="G181" s="72">
        <v>44195.08</v>
      </c>
      <c r="H181" s="74">
        <f t="shared" ref="H181:H183" si="28">H180+G181</f>
        <v>7974892.7199999923</v>
      </c>
      <c r="I181" s="75" t="s">
        <v>13</v>
      </c>
    </row>
    <row r="182" spans="2:9" ht="15" thickBot="1">
      <c r="B182" s="69">
        <v>46252</v>
      </c>
      <c r="C182" s="70" t="s">
        <v>396</v>
      </c>
      <c r="D182" s="72"/>
      <c r="E182" s="73"/>
      <c r="F182" s="70">
        <v>23.48</v>
      </c>
      <c r="G182" s="72">
        <v>21038.41</v>
      </c>
      <c r="H182" s="74">
        <f t="shared" si="28"/>
        <v>7995931.1299999924</v>
      </c>
      <c r="I182" s="75" t="s">
        <v>13</v>
      </c>
    </row>
    <row r="183" spans="2:9" ht="15" thickBot="1">
      <c r="B183" s="69">
        <v>46252</v>
      </c>
      <c r="C183" s="70" t="s">
        <v>381</v>
      </c>
      <c r="D183" s="72"/>
      <c r="E183" s="73"/>
      <c r="F183" s="70">
        <v>17.61</v>
      </c>
      <c r="G183" s="72">
        <v>15778.81</v>
      </c>
      <c r="H183" s="74">
        <f t="shared" si="28"/>
        <v>8011709.939999992</v>
      </c>
      <c r="I183" s="75" t="s">
        <v>13</v>
      </c>
    </row>
    <row r="184" spans="2:9" ht="15" thickBot="1">
      <c r="B184" s="231">
        <v>46252</v>
      </c>
      <c r="C184" s="363" t="s">
        <v>309</v>
      </c>
      <c r="D184" s="24">
        <v>0.74</v>
      </c>
      <c r="E184" s="235">
        <v>662.92</v>
      </c>
      <c r="F184" s="234"/>
      <c r="G184" s="234"/>
      <c r="H184" s="153">
        <f>H183-E184</f>
        <v>8011047.0199999921</v>
      </c>
      <c r="I184" s="397" t="s">
        <v>25</v>
      </c>
    </row>
    <row r="185" spans="2:9" ht="15" thickBot="1">
      <c r="B185" s="231">
        <v>46252</v>
      </c>
      <c r="C185" s="363" t="s">
        <v>309</v>
      </c>
      <c r="D185" s="24">
        <v>0.35</v>
      </c>
      <c r="E185" s="235">
        <v>315.57</v>
      </c>
      <c r="F185" s="234"/>
      <c r="G185" s="234"/>
      <c r="H185" s="153">
        <f t="shared" ref="H185:H192" si="29">H184-E185</f>
        <v>8010731.4499999918</v>
      </c>
      <c r="I185" s="397" t="s">
        <v>25</v>
      </c>
    </row>
    <row r="186" spans="2:9" ht="15" thickBot="1">
      <c r="B186" s="231">
        <v>46252</v>
      </c>
      <c r="C186" s="363" t="s">
        <v>309</v>
      </c>
      <c r="D186" s="24">
        <v>0.26</v>
      </c>
      <c r="E186" s="235">
        <v>236.68</v>
      </c>
      <c r="F186" s="234"/>
      <c r="G186" s="234"/>
      <c r="H186" s="153">
        <f t="shared" si="29"/>
        <v>8010494.7699999921</v>
      </c>
      <c r="I186" s="397" t="s">
        <v>25</v>
      </c>
    </row>
    <row r="187" spans="2:9" ht="15" thickBot="1">
      <c r="B187" s="231">
        <v>46252</v>
      </c>
      <c r="C187" s="448" t="s">
        <v>516</v>
      </c>
      <c r="D187" s="24">
        <v>431.52</v>
      </c>
      <c r="E187" s="235">
        <v>386656.25</v>
      </c>
      <c r="F187" s="234"/>
      <c r="G187" s="234"/>
      <c r="H187" s="153">
        <f t="shared" si="29"/>
        <v>7623838.5199999921</v>
      </c>
      <c r="I187" s="397" t="s">
        <v>10</v>
      </c>
    </row>
    <row r="188" spans="2:9" ht="15" thickBot="1">
      <c r="B188" s="231">
        <v>46252</v>
      </c>
      <c r="C188" s="389" t="s">
        <v>31</v>
      </c>
      <c r="D188" s="24">
        <v>1.29</v>
      </c>
      <c r="E188" s="235">
        <v>1159.96</v>
      </c>
      <c r="F188" s="234"/>
      <c r="G188" s="234"/>
      <c r="H188" s="153">
        <f t="shared" si="29"/>
        <v>7622678.5599999921</v>
      </c>
      <c r="I188" s="397" t="s">
        <v>25</v>
      </c>
    </row>
    <row r="189" spans="2:9" ht="15" thickBot="1">
      <c r="B189" s="231">
        <v>46252</v>
      </c>
      <c r="C189" s="448" t="s">
        <v>517</v>
      </c>
      <c r="D189" s="24">
        <v>0.93</v>
      </c>
      <c r="E189" s="235">
        <v>830.55</v>
      </c>
      <c r="F189" s="234"/>
      <c r="G189" s="234"/>
      <c r="H189" s="153">
        <f t="shared" si="29"/>
        <v>7621848.0099999923</v>
      </c>
      <c r="I189" s="397" t="s">
        <v>10</v>
      </c>
    </row>
    <row r="190" spans="2:9" ht="15" thickBot="1">
      <c r="B190" s="231">
        <v>46252</v>
      </c>
      <c r="C190" s="448" t="s">
        <v>518</v>
      </c>
      <c r="D190" s="24">
        <v>48.36</v>
      </c>
      <c r="E190" s="235">
        <v>43334.25</v>
      </c>
      <c r="F190" s="234"/>
      <c r="G190" s="234"/>
      <c r="H190" s="153">
        <f t="shared" si="29"/>
        <v>7578513.7599999923</v>
      </c>
      <c r="I190" s="397" t="s">
        <v>10</v>
      </c>
    </row>
    <row r="191" spans="2:9" ht="15" thickBot="1">
      <c r="B191" s="231">
        <v>46252</v>
      </c>
      <c r="C191" s="448" t="s">
        <v>519</v>
      </c>
      <c r="D191" s="24">
        <v>36</v>
      </c>
      <c r="E191" s="235">
        <v>32254.400000000001</v>
      </c>
      <c r="F191" s="234"/>
      <c r="G191" s="234"/>
      <c r="H191" s="153">
        <f t="shared" si="29"/>
        <v>7546259.359999992</v>
      </c>
      <c r="I191" s="397" t="s">
        <v>10</v>
      </c>
    </row>
    <row r="192" spans="2:9" ht="15" thickBot="1">
      <c r="B192" s="231">
        <v>46252</v>
      </c>
      <c r="C192" s="448" t="s">
        <v>520</v>
      </c>
      <c r="D192" s="24">
        <v>17.440000000000001</v>
      </c>
      <c r="E192" s="235">
        <v>15627.16</v>
      </c>
      <c r="F192" s="234"/>
      <c r="G192" s="234"/>
      <c r="H192" s="153">
        <f t="shared" si="29"/>
        <v>7530632.1999999918</v>
      </c>
      <c r="I192" s="397" t="s">
        <v>10</v>
      </c>
    </row>
    <row r="193" spans="2:9" ht="15" thickBot="1">
      <c r="B193" s="69">
        <v>46252</v>
      </c>
      <c r="C193" s="70" t="s">
        <v>521</v>
      </c>
      <c r="D193" s="72"/>
      <c r="E193" s="73"/>
      <c r="F193" s="70">
        <v>70.739999999999995</v>
      </c>
      <c r="G193" s="72">
        <v>54843.4</v>
      </c>
      <c r="H193" s="74">
        <f>H192+G193</f>
        <v>7585475.5999999922</v>
      </c>
      <c r="I193" s="75" t="s">
        <v>10</v>
      </c>
    </row>
    <row r="194" spans="2:9" ht="15" thickBot="1">
      <c r="B194" s="69">
        <v>46252</v>
      </c>
      <c r="C194" s="378" t="s">
        <v>522</v>
      </c>
      <c r="D194" s="72"/>
      <c r="E194" s="73"/>
      <c r="F194" s="70">
        <v>2.96</v>
      </c>
      <c r="G194" s="72">
        <v>2293.0500000000002</v>
      </c>
      <c r="H194" s="74">
        <f>H193+G194</f>
        <v>7587768.649999992</v>
      </c>
      <c r="I194" s="75" t="s">
        <v>10</v>
      </c>
    </row>
    <row r="195" spans="2:9" ht="15" thickBot="1">
      <c r="B195" s="69">
        <v>46253</v>
      </c>
      <c r="C195" s="70" t="s">
        <v>402</v>
      </c>
      <c r="D195" s="72"/>
      <c r="E195" s="73"/>
      <c r="F195" s="70">
        <v>29.05</v>
      </c>
      <c r="G195" s="72">
        <v>26343.29</v>
      </c>
      <c r="H195" s="74">
        <f t="shared" ref="H195:H197" si="30">H194+G195</f>
        <v>7614111.939999992</v>
      </c>
      <c r="I195" s="75" t="s">
        <v>13</v>
      </c>
    </row>
    <row r="196" spans="2:9" ht="15" thickBot="1">
      <c r="B196" s="69">
        <v>46253</v>
      </c>
      <c r="C196" s="70" t="s">
        <v>382</v>
      </c>
      <c r="D196" s="72"/>
      <c r="E196" s="73"/>
      <c r="F196" s="70">
        <v>20.34</v>
      </c>
      <c r="G196" s="72">
        <v>18441.18</v>
      </c>
      <c r="H196" s="74">
        <f t="shared" si="30"/>
        <v>7632553.1199999917</v>
      </c>
      <c r="I196" s="75" t="s">
        <v>13</v>
      </c>
    </row>
    <row r="197" spans="2:9" ht="15" thickBot="1">
      <c r="B197" s="69">
        <v>46253</v>
      </c>
      <c r="C197" s="70" t="s">
        <v>403</v>
      </c>
      <c r="D197" s="72"/>
      <c r="E197" s="73"/>
      <c r="F197" s="70">
        <v>11.62</v>
      </c>
      <c r="G197" s="72">
        <v>10539.19</v>
      </c>
      <c r="H197" s="74">
        <f t="shared" si="30"/>
        <v>7643092.3099999921</v>
      </c>
      <c r="I197" s="75" t="s">
        <v>13</v>
      </c>
    </row>
    <row r="198" spans="2:9" ht="15" thickBot="1">
      <c r="B198" s="231">
        <v>46253</v>
      </c>
      <c r="C198" s="363" t="s">
        <v>309</v>
      </c>
      <c r="D198" s="24">
        <v>0.44</v>
      </c>
      <c r="E198" s="235">
        <v>395.14</v>
      </c>
      <c r="F198" s="234"/>
      <c r="G198" s="234"/>
      <c r="H198" s="153">
        <f>H197-E198</f>
        <v>7642697.1699999925</v>
      </c>
      <c r="I198" s="401" t="s">
        <v>25</v>
      </c>
    </row>
    <row r="199" spans="2:9" ht="15" thickBot="1">
      <c r="B199" s="231">
        <v>46253</v>
      </c>
      <c r="C199" s="363" t="s">
        <v>309</v>
      </c>
      <c r="D199" s="24">
        <v>0.31</v>
      </c>
      <c r="E199" s="235">
        <v>276.61</v>
      </c>
      <c r="F199" s="234"/>
      <c r="G199" s="234"/>
      <c r="H199" s="153">
        <f t="shared" ref="H199:H200" si="31">H198-E199</f>
        <v>7642420.5599999921</v>
      </c>
      <c r="I199" s="401" t="s">
        <v>25</v>
      </c>
    </row>
    <row r="200" spans="2:9" ht="15" thickBot="1">
      <c r="B200" s="231">
        <v>46253</v>
      </c>
      <c r="C200" s="363" t="s">
        <v>309</v>
      </c>
      <c r="D200" s="24">
        <v>0.17</v>
      </c>
      <c r="E200" s="235">
        <v>158.08000000000001</v>
      </c>
      <c r="F200" s="234"/>
      <c r="G200" s="234"/>
      <c r="H200" s="153">
        <f t="shared" si="31"/>
        <v>7642262.4799999921</v>
      </c>
      <c r="I200" s="401" t="s">
        <v>25</v>
      </c>
    </row>
    <row r="201" spans="2:9" ht="15" thickBot="1">
      <c r="B201" s="69">
        <v>46253</v>
      </c>
      <c r="C201" s="70" t="s">
        <v>523</v>
      </c>
      <c r="D201" s="72"/>
      <c r="E201" s="73"/>
      <c r="F201" s="70">
        <v>75.739999999999995</v>
      </c>
      <c r="G201" s="72">
        <v>68683.47</v>
      </c>
      <c r="H201" s="74">
        <f>H200+G201</f>
        <v>7710945.9499999918</v>
      </c>
      <c r="I201" s="75" t="s">
        <v>10</v>
      </c>
    </row>
    <row r="202" spans="2:9" ht="15" thickBot="1">
      <c r="B202" s="69">
        <v>46253</v>
      </c>
      <c r="C202" s="70" t="s">
        <v>524</v>
      </c>
      <c r="D202" s="72"/>
      <c r="E202" s="73"/>
      <c r="F202" s="70">
        <v>113.38</v>
      </c>
      <c r="G202" s="72">
        <v>102819.37</v>
      </c>
      <c r="H202" s="74">
        <f>H201+G202</f>
        <v>7813765.3199999919</v>
      </c>
      <c r="I202" s="75" t="s">
        <v>10</v>
      </c>
    </row>
    <row r="203" spans="2:9" ht="29.5" thickBot="1">
      <c r="B203" s="231">
        <v>46253</v>
      </c>
      <c r="C203" s="427" t="s">
        <v>466</v>
      </c>
      <c r="D203" s="24">
        <v>25.3</v>
      </c>
      <c r="E203" s="235">
        <v>22942</v>
      </c>
      <c r="F203" s="234"/>
      <c r="G203" s="234"/>
      <c r="H203" s="153">
        <f>H202-E203</f>
        <v>7790823.3199999919</v>
      </c>
      <c r="I203" s="401" t="s">
        <v>10</v>
      </c>
    </row>
    <row r="204" spans="2:9" ht="15" thickBot="1">
      <c r="B204" s="69">
        <v>46253</v>
      </c>
      <c r="C204" s="70" t="s">
        <v>409</v>
      </c>
      <c r="D204" s="72"/>
      <c r="E204" s="73"/>
      <c r="F204" s="70">
        <v>45.44</v>
      </c>
      <c r="G204" s="72">
        <v>41210.080000000002</v>
      </c>
      <c r="H204" s="74">
        <f>H203+G204</f>
        <v>7832033.399999992</v>
      </c>
      <c r="I204" s="75" t="s">
        <v>10</v>
      </c>
    </row>
    <row r="205" spans="2:9" ht="15" thickBot="1">
      <c r="B205" s="231">
        <v>46253</v>
      </c>
      <c r="C205" s="448" t="s">
        <v>337</v>
      </c>
      <c r="D205" s="24">
        <v>12.85</v>
      </c>
      <c r="E205" s="235">
        <v>11656.42</v>
      </c>
      <c r="F205" s="234"/>
      <c r="G205" s="234"/>
      <c r="H205" s="153">
        <f>H204-E205</f>
        <v>7820376.9799999921</v>
      </c>
      <c r="I205" s="401" t="s">
        <v>13</v>
      </c>
    </row>
    <row r="206" spans="2:9" ht="15" thickBot="1">
      <c r="B206" s="231">
        <v>46253</v>
      </c>
      <c r="C206" s="448" t="s">
        <v>407</v>
      </c>
      <c r="D206" s="24">
        <v>19.84</v>
      </c>
      <c r="E206" s="235">
        <v>17987.78</v>
      </c>
      <c r="F206" s="234"/>
      <c r="G206" s="234"/>
      <c r="H206" s="153">
        <f>H205-E206</f>
        <v>7802389.1999999918</v>
      </c>
      <c r="I206" s="401" t="s">
        <v>13</v>
      </c>
    </row>
    <row r="207" spans="2:9" ht="15" thickBot="1">
      <c r="B207" s="231">
        <v>46253</v>
      </c>
      <c r="C207" s="402" t="s">
        <v>408</v>
      </c>
      <c r="D207" s="24">
        <v>55.66</v>
      </c>
      <c r="E207" s="235">
        <v>50474.64</v>
      </c>
      <c r="F207" s="234"/>
      <c r="G207" s="234"/>
      <c r="H207" s="153">
        <f>H206-E207</f>
        <v>7751914.5599999921</v>
      </c>
      <c r="I207" s="401" t="s">
        <v>13</v>
      </c>
    </row>
    <row r="208" spans="2:9" ht="15" thickBot="1">
      <c r="B208" s="69">
        <v>46253</v>
      </c>
      <c r="C208" s="70" t="s">
        <v>410</v>
      </c>
      <c r="D208" s="72"/>
      <c r="E208" s="73"/>
      <c r="F208" s="70">
        <v>5.35</v>
      </c>
      <c r="G208" s="72">
        <v>4848.24</v>
      </c>
      <c r="H208" s="74">
        <f>H207+G208</f>
        <v>7756762.7999999924</v>
      </c>
      <c r="I208" s="75" t="s">
        <v>10</v>
      </c>
    </row>
    <row r="209" spans="2:9" ht="15" thickBot="1">
      <c r="B209" s="69">
        <v>46253</v>
      </c>
      <c r="C209" s="70" t="s">
        <v>411</v>
      </c>
      <c r="D209" s="72"/>
      <c r="E209" s="73"/>
      <c r="F209" s="70">
        <v>60.59</v>
      </c>
      <c r="G209" s="72">
        <v>54946.77</v>
      </c>
      <c r="H209" s="74">
        <f>H208+G209</f>
        <v>7811709.5699999919</v>
      </c>
      <c r="I209" s="75" t="s">
        <v>10</v>
      </c>
    </row>
    <row r="210" spans="2:9" ht="15" thickBot="1">
      <c r="B210" s="69">
        <v>46253</v>
      </c>
      <c r="C210" s="70" t="s">
        <v>412</v>
      </c>
      <c r="D210" s="72"/>
      <c r="E210" s="73"/>
      <c r="F210" s="70">
        <v>29.7</v>
      </c>
      <c r="G210" s="72">
        <v>26934.6</v>
      </c>
      <c r="H210" s="74">
        <f>H209+G210</f>
        <v>7838644.1699999915</v>
      </c>
      <c r="I210" s="75" t="s">
        <v>10</v>
      </c>
    </row>
    <row r="211" spans="2:9" ht="15" thickBot="1">
      <c r="B211" s="69">
        <v>46254</v>
      </c>
      <c r="C211" s="70" t="s">
        <v>413</v>
      </c>
      <c r="D211" s="72"/>
      <c r="E211" s="73"/>
      <c r="F211" s="70">
        <v>23.29</v>
      </c>
      <c r="G211" s="72">
        <v>21116.81</v>
      </c>
      <c r="H211" s="74">
        <f>H210+G211</f>
        <v>7859760.9799999911</v>
      </c>
      <c r="I211" s="75" t="s">
        <v>13</v>
      </c>
    </row>
    <row r="212" spans="2:9" ht="15" thickBot="1">
      <c r="B212" s="69">
        <v>46254</v>
      </c>
      <c r="C212" s="70" t="s">
        <v>396</v>
      </c>
      <c r="D212" s="72"/>
      <c r="E212" s="73"/>
      <c r="F212" s="70">
        <v>17.46</v>
      </c>
      <c r="G212" s="72">
        <v>15837.61</v>
      </c>
      <c r="H212" s="74">
        <f>H211+G212</f>
        <v>7875598.5899999915</v>
      </c>
      <c r="I212" s="75" t="s">
        <v>13</v>
      </c>
    </row>
    <row r="213" spans="2:9" ht="15" thickBot="1">
      <c r="B213" s="231">
        <v>46254</v>
      </c>
      <c r="C213" s="363" t="s">
        <v>309</v>
      </c>
      <c r="D213" s="24">
        <v>0.35</v>
      </c>
      <c r="E213" s="235">
        <v>316.75</v>
      </c>
      <c r="F213" s="234"/>
      <c r="G213" s="234"/>
      <c r="H213" s="153">
        <f>H212-E213</f>
        <v>7875281.8399999915</v>
      </c>
      <c r="I213" s="401" t="s">
        <v>25</v>
      </c>
    </row>
    <row r="214" spans="2:9" ht="15" thickBot="1">
      <c r="B214" s="231">
        <v>46254</v>
      </c>
      <c r="C214" s="363" t="s">
        <v>309</v>
      </c>
      <c r="D214" s="24">
        <v>0.26</v>
      </c>
      <c r="E214" s="235">
        <v>237.56</v>
      </c>
      <c r="F214" s="234"/>
      <c r="G214" s="234"/>
      <c r="H214" s="153">
        <f>H213-E214</f>
        <v>7875044.2799999919</v>
      </c>
      <c r="I214" s="401" t="s">
        <v>25</v>
      </c>
    </row>
    <row r="215" spans="2:9" ht="29.5" thickBot="1">
      <c r="B215" s="231">
        <v>46254</v>
      </c>
      <c r="C215" s="403" t="s">
        <v>414</v>
      </c>
      <c r="D215" s="24">
        <v>6.73</v>
      </c>
      <c r="E215" s="235">
        <v>6107.29</v>
      </c>
      <c r="F215" s="234"/>
      <c r="G215" s="234"/>
      <c r="H215" s="153">
        <f>H214-E215</f>
        <v>7868936.9899999918</v>
      </c>
      <c r="I215" s="401" t="s">
        <v>13</v>
      </c>
    </row>
    <row r="216" spans="2:9" ht="15" thickBot="1">
      <c r="B216" s="231">
        <v>46254</v>
      </c>
      <c r="C216" s="402" t="s">
        <v>415</v>
      </c>
      <c r="D216" s="24">
        <v>90.02</v>
      </c>
      <c r="E216" s="235">
        <v>81629</v>
      </c>
      <c r="F216" s="234"/>
      <c r="G216" s="234"/>
      <c r="H216" s="153">
        <f>H215-E216</f>
        <v>7787307.9899999918</v>
      </c>
      <c r="I216" s="401" t="s">
        <v>10</v>
      </c>
    </row>
    <row r="217" spans="2:9" ht="15" thickBot="1">
      <c r="B217" s="69">
        <v>46255</v>
      </c>
      <c r="C217" s="70" t="s">
        <v>418</v>
      </c>
      <c r="D217" s="72"/>
      <c r="E217" s="73"/>
      <c r="F217" s="70">
        <v>46.57</v>
      </c>
      <c r="G217" s="72">
        <v>42657.440000000002</v>
      </c>
      <c r="H217" s="74">
        <f>H216+G217</f>
        <v>7829965.4299999923</v>
      </c>
      <c r="I217" s="75" t="s">
        <v>13</v>
      </c>
    </row>
    <row r="218" spans="2:9" ht="15" thickBot="1">
      <c r="B218" s="69">
        <v>46255</v>
      </c>
      <c r="C218" s="70" t="s">
        <v>402</v>
      </c>
      <c r="D218" s="72"/>
      <c r="E218" s="73"/>
      <c r="F218" s="70">
        <v>9.6999999999999993</v>
      </c>
      <c r="G218" s="72">
        <v>8886.9699999999993</v>
      </c>
      <c r="H218" s="74">
        <f>H217+G218</f>
        <v>7838852.399999992</v>
      </c>
      <c r="I218" s="75" t="s">
        <v>13</v>
      </c>
    </row>
    <row r="219" spans="2:9" ht="15" thickBot="1">
      <c r="B219" s="231">
        <v>46255</v>
      </c>
      <c r="C219" s="363" t="s">
        <v>309</v>
      </c>
      <c r="D219" s="24">
        <v>0.7</v>
      </c>
      <c r="E219" s="235">
        <v>639.86</v>
      </c>
      <c r="F219" s="234"/>
      <c r="G219" s="234"/>
      <c r="H219" s="153">
        <f>H218-E219</f>
        <v>7838212.5399999917</v>
      </c>
      <c r="I219" s="406" t="s">
        <v>25</v>
      </c>
    </row>
    <row r="220" spans="2:9" ht="15" thickBot="1">
      <c r="B220" s="231">
        <v>46255</v>
      </c>
      <c r="C220" s="363" t="s">
        <v>309</v>
      </c>
      <c r="D220" s="24">
        <v>0.15</v>
      </c>
      <c r="E220" s="235">
        <v>133.30000000000001</v>
      </c>
      <c r="F220" s="234"/>
      <c r="G220" s="234"/>
      <c r="H220" s="153">
        <f>H219-E220</f>
        <v>7838079.2399999918</v>
      </c>
      <c r="I220" s="406" t="s">
        <v>25</v>
      </c>
    </row>
    <row r="221" spans="2:9" ht="15" thickBot="1">
      <c r="B221" s="69">
        <v>46255</v>
      </c>
      <c r="C221" s="70" t="s">
        <v>525</v>
      </c>
      <c r="D221" s="72"/>
      <c r="E221" s="73"/>
      <c r="F221" s="70">
        <v>19.96</v>
      </c>
      <c r="G221" s="72">
        <v>18279</v>
      </c>
      <c r="H221" s="74">
        <f>H220+G221</f>
        <v>7856358.2399999918</v>
      </c>
      <c r="I221" s="75" t="s">
        <v>10</v>
      </c>
    </row>
    <row r="222" spans="2:9" ht="15" thickBot="1">
      <c r="B222" s="69">
        <v>46255</v>
      </c>
      <c r="C222" s="70" t="s">
        <v>526</v>
      </c>
      <c r="D222" s="72"/>
      <c r="E222" s="73"/>
      <c r="F222" s="70">
        <v>9.98</v>
      </c>
      <c r="G222" s="72">
        <v>9139.5</v>
      </c>
      <c r="H222" s="74">
        <f>H221+G222</f>
        <v>7865497.7399999918</v>
      </c>
      <c r="I222" s="75" t="s">
        <v>10</v>
      </c>
    </row>
    <row r="223" spans="2:9" ht="29.5" thickBot="1">
      <c r="B223" s="231">
        <v>46255</v>
      </c>
      <c r="C223" s="449" t="s">
        <v>527</v>
      </c>
      <c r="D223" s="24">
        <v>298.47000000000003</v>
      </c>
      <c r="E223" s="235">
        <v>273404.44</v>
      </c>
      <c r="F223" s="234"/>
      <c r="G223" s="234"/>
      <c r="H223" s="153">
        <f>H222-E223</f>
        <v>7592093.2999999914</v>
      </c>
      <c r="I223" s="406" t="s">
        <v>10</v>
      </c>
    </row>
    <row r="224" spans="2:9" ht="15" thickBot="1">
      <c r="B224" s="231">
        <v>46255</v>
      </c>
      <c r="C224" s="407" t="s">
        <v>31</v>
      </c>
      <c r="D224" s="24">
        <v>0.9</v>
      </c>
      <c r="E224" s="235">
        <v>820.21</v>
      </c>
      <c r="F224" s="234"/>
      <c r="G224" s="234"/>
      <c r="H224" s="153">
        <f>H223-E224</f>
        <v>7591273.0899999915</v>
      </c>
      <c r="I224" s="406" t="s">
        <v>25</v>
      </c>
    </row>
    <row r="225" spans="2:9" ht="15" thickBot="1">
      <c r="B225" s="69">
        <v>46255</v>
      </c>
      <c r="C225" s="70" t="s">
        <v>528</v>
      </c>
      <c r="D225" s="72"/>
      <c r="E225" s="73"/>
      <c r="F225" s="70">
        <v>206.92</v>
      </c>
      <c r="G225" s="72">
        <v>189539.26</v>
      </c>
      <c r="H225" s="74">
        <f>H224+G225</f>
        <v>7780812.3499999912</v>
      </c>
      <c r="I225" s="75" t="s">
        <v>10</v>
      </c>
    </row>
    <row r="226" spans="2:9" ht="15" thickBot="1">
      <c r="B226" s="69">
        <v>46256</v>
      </c>
      <c r="C226" s="70" t="s">
        <v>423</v>
      </c>
      <c r="D226" s="72"/>
      <c r="E226" s="73"/>
      <c r="F226" s="70">
        <v>14.4</v>
      </c>
      <c r="G226" s="72">
        <v>13189.85</v>
      </c>
      <c r="H226" s="74">
        <f t="shared" ref="H226:H228" si="32">H225+G226</f>
        <v>7794002.1999999909</v>
      </c>
      <c r="I226" s="75" t="s">
        <v>13</v>
      </c>
    </row>
    <row r="227" spans="2:9" ht="15" thickBot="1">
      <c r="B227" s="69">
        <v>46256</v>
      </c>
      <c r="C227" s="70" t="s">
        <v>424</v>
      </c>
      <c r="D227" s="72"/>
      <c r="E227" s="73"/>
      <c r="F227" s="70">
        <v>52.62</v>
      </c>
      <c r="G227" s="72">
        <v>48195.82</v>
      </c>
      <c r="H227" s="74">
        <f t="shared" si="32"/>
        <v>7842198.0199999912</v>
      </c>
      <c r="I227" s="75" t="s">
        <v>13</v>
      </c>
    </row>
    <row r="228" spans="2:9" ht="15" thickBot="1">
      <c r="B228" s="69">
        <v>46256</v>
      </c>
      <c r="C228" s="70" t="s">
        <v>413</v>
      </c>
      <c r="D228" s="72"/>
      <c r="E228" s="73"/>
      <c r="F228" s="70">
        <v>17.55</v>
      </c>
      <c r="G228" s="72">
        <v>16073.87</v>
      </c>
      <c r="H228" s="74">
        <f t="shared" si="32"/>
        <v>7858271.8899999913</v>
      </c>
      <c r="I228" s="75" t="s">
        <v>13</v>
      </c>
    </row>
    <row r="229" spans="2:9" ht="15" thickBot="1">
      <c r="B229" s="231">
        <v>46256</v>
      </c>
      <c r="C229" s="363" t="s">
        <v>309</v>
      </c>
      <c r="D229" s="24">
        <v>0.79</v>
      </c>
      <c r="E229" s="235">
        <v>722.93</v>
      </c>
      <c r="F229" s="234"/>
      <c r="G229" s="234"/>
      <c r="H229" s="153">
        <f>H228-E229</f>
        <v>7857548.9599999916</v>
      </c>
      <c r="I229" s="406" t="s">
        <v>25</v>
      </c>
    </row>
    <row r="230" spans="2:9" ht="15" thickBot="1">
      <c r="B230" s="231">
        <v>46256</v>
      </c>
      <c r="C230" s="363" t="s">
        <v>309</v>
      </c>
      <c r="D230" s="24">
        <v>0.26</v>
      </c>
      <c r="E230" s="235">
        <v>241.1</v>
      </c>
      <c r="F230" s="234"/>
      <c r="G230" s="234"/>
      <c r="H230" s="153">
        <f t="shared" ref="H230:H231" si="33">H229-E230</f>
        <v>7857307.859999992</v>
      </c>
      <c r="I230" s="406" t="s">
        <v>25</v>
      </c>
    </row>
    <row r="231" spans="2:9" ht="15" thickBot="1">
      <c r="B231" s="231">
        <v>46256</v>
      </c>
      <c r="C231" s="363" t="s">
        <v>309</v>
      </c>
      <c r="D231" s="24">
        <v>0.22</v>
      </c>
      <c r="E231" s="235">
        <v>197.84</v>
      </c>
      <c r="F231" s="234"/>
      <c r="G231" s="234"/>
      <c r="H231" s="153">
        <f t="shared" si="33"/>
        <v>7857110.0199999921</v>
      </c>
      <c r="I231" s="406" t="s">
        <v>25</v>
      </c>
    </row>
    <row r="232" spans="2:9" ht="15" thickBot="1">
      <c r="B232" s="69">
        <v>46257</v>
      </c>
      <c r="C232" s="70" t="s">
        <v>418</v>
      </c>
      <c r="D232" s="72"/>
      <c r="E232" s="73"/>
      <c r="F232" s="70">
        <v>23.52</v>
      </c>
      <c r="G232" s="72">
        <v>21544.48</v>
      </c>
      <c r="H232" s="74">
        <f>H231+G232</f>
        <v>7878654.4999999925</v>
      </c>
      <c r="I232" s="75" t="s">
        <v>13</v>
      </c>
    </row>
    <row r="233" spans="2:9" ht="15" thickBot="1">
      <c r="B233" s="69">
        <v>46257</v>
      </c>
      <c r="C233" s="70" t="s">
        <v>425</v>
      </c>
      <c r="D233" s="72"/>
      <c r="E233" s="73"/>
      <c r="F233" s="70">
        <v>23.52</v>
      </c>
      <c r="G233" s="72">
        <v>21544.48</v>
      </c>
      <c r="H233" s="74">
        <f>H232+G233</f>
        <v>7900198.979999993</v>
      </c>
      <c r="I233" s="75" t="s">
        <v>13</v>
      </c>
    </row>
    <row r="234" spans="2:9" ht="15" thickBot="1">
      <c r="B234" s="231">
        <v>46257</v>
      </c>
      <c r="C234" s="363" t="s">
        <v>309</v>
      </c>
      <c r="D234" s="24">
        <v>0.35</v>
      </c>
      <c r="E234" s="235">
        <v>323.16000000000003</v>
      </c>
      <c r="F234" s="234"/>
      <c r="G234" s="234"/>
      <c r="H234" s="153">
        <f>H233-E234</f>
        <v>7899875.8199999928</v>
      </c>
      <c r="I234" s="406" t="s">
        <v>25</v>
      </c>
    </row>
    <row r="235" spans="2:9" ht="15" thickBot="1">
      <c r="B235" s="231">
        <v>46257</v>
      </c>
      <c r="C235" s="363" t="s">
        <v>309</v>
      </c>
      <c r="D235" s="24">
        <v>0.35</v>
      </c>
      <c r="E235" s="235">
        <v>323.16000000000003</v>
      </c>
      <c r="F235" s="234"/>
      <c r="G235" s="234"/>
      <c r="H235" s="153">
        <f>H234-E235</f>
        <v>7899552.6599999927</v>
      </c>
      <c r="I235" s="406" t="s">
        <v>25</v>
      </c>
    </row>
    <row r="236" spans="2:9" ht="15" thickBot="1">
      <c r="B236" s="69">
        <v>46258</v>
      </c>
      <c r="C236" s="70" t="s">
        <v>424</v>
      </c>
      <c r="D236" s="72"/>
      <c r="E236" s="73"/>
      <c r="F236" s="70">
        <v>8.82</v>
      </c>
      <c r="G236" s="72">
        <v>8079.18</v>
      </c>
      <c r="H236" s="74">
        <f>H235+G236</f>
        <v>7907631.8399999924</v>
      </c>
      <c r="I236" s="75" t="s">
        <v>13</v>
      </c>
    </row>
    <row r="237" spans="2:9" ht="15" thickBot="1">
      <c r="B237" s="69">
        <v>46258</v>
      </c>
      <c r="C237" s="70" t="s">
        <v>426</v>
      </c>
      <c r="D237" s="72"/>
      <c r="E237" s="73"/>
      <c r="F237" s="70">
        <v>2.94</v>
      </c>
      <c r="G237" s="72">
        <v>2693.06</v>
      </c>
      <c r="H237" s="74">
        <f t="shared" ref="H237:H238" si="34">H236+G237</f>
        <v>7910324.899999992</v>
      </c>
      <c r="I237" s="75" t="s">
        <v>13</v>
      </c>
    </row>
    <row r="238" spans="2:9" ht="15" thickBot="1">
      <c r="B238" s="69">
        <v>46258</v>
      </c>
      <c r="C238" s="70" t="s">
        <v>427</v>
      </c>
      <c r="D238" s="72"/>
      <c r="E238" s="73"/>
      <c r="F238" s="70">
        <v>2.94</v>
      </c>
      <c r="G238" s="72">
        <v>2693.06</v>
      </c>
      <c r="H238" s="74">
        <f t="shared" si="34"/>
        <v>7913017.9599999916</v>
      </c>
      <c r="I238" s="75" t="s">
        <v>13</v>
      </c>
    </row>
    <row r="239" spans="2:9" ht="15" thickBot="1">
      <c r="B239" s="408">
        <v>46258</v>
      </c>
      <c r="C239" s="363" t="s">
        <v>309</v>
      </c>
      <c r="D239" s="24">
        <v>0.13</v>
      </c>
      <c r="E239" s="235">
        <v>121.18</v>
      </c>
      <c r="F239" s="234"/>
      <c r="G239" s="234"/>
      <c r="H239" s="153">
        <f>H238-E239</f>
        <v>7912896.7799999919</v>
      </c>
      <c r="I239" s="406" t="s">
        <v>25</v>
      </c>
    </row>
    <row r="240" spans="2:9" ht="15" thickBot="1">
      <c r="B240" s="408">
        <v>46258</v>
      </c>
      <c r="C240" s="363" t="s">
        <v>309</v>
      </c>
      <c r="D240" s="24">
        <v>0.04</v>
      </c>
      <c r="E240" s="235">
        <v>40.39</v>
      </c>
      <c r="F240" s="234"/>
      <c r="G240" s="234"/>
      <c r="H240" s="153">
        <f t="shared" ref="H240:H249" si="35">H239-E240</f>
        <v>7912856.3899999922</v>
      </c>
      <c r="I240" s="406" t="s">
        <v>25</v>
      </c>
    </row>
    <row r="241" spans="2:9" ht="15" thickBot="1">
      <c r="B241" s="408">
        <v>46258</v>
      </c>
      <c r="C241" s="363" t="s">
        <v>309</v>
      </c>
      <c r="D241" s="24">
        <v>0.04</v>
      </c>
      <c r="E241" s="235">
        <v>40.39</v>
      </c>
      <c r="F241" s="234"/>
      <c r="G241" s="234"/>
      <c r="H241" s="153">
        <f t="shared" si="35"/>
        <v>7912815.9999999925</v>
      </c>
      <c r="I241" s="406" t="s">
        <v>25</v>
      </c>
    </row>
    <row r="242" spans="2:9" ht="15" thickBot="1">
      <c r="B242" s="408">
        <v>46258</v>
      </c>
      <c r="C242" s="407" t="s">
        <v>428</v>
      </c>
      <c r="D242" s="24">
        <v>6.36</v>
      </c>
      <c r="E242" s="235">
        <v>5822.18</v>
      </c>
      <c r="F242" s="234"/>
      <c r="G242" s="234"/>
      <c r="H242" s="153">
        <f t="shared" si="35"/>
        <v>7906993.8199999928</v>
      </c>
      <c r="I242" s="406" t="s">
        <v>13</v>
      </c>
    </row>
    <row r="243" spans="2:9" ht="15" thickBot="1">
      <c r="B243" s="408">
        <v>46258</v>
      </c>
      <c r="C243" s="407" t="s">
        <v>31</v>
      </c>
      <c r="D243" s="24">
        <v>0.01</v>
      </c>
      <c r="E243" s="235">
        <v>10.93</v>
      </c>
      <c r="F243" s="234"/>
      <c r="G243" s="234"/>
      <c r="H243" s="153">
        <f t="shared" si="35"/>
        <v>7906982.8899999931</v>
      </c>
      <c r="I243" s="406" t="s">
        <v>25</v>
      </c>
    </row>
    <row r="244" spans="2:9" ht="29.5" thickBot="1">
      <c r="B244" s="408">
        <v>46258</v>
      </c>
      <c r="C244" s="410" t="s">
        <v>429</v>
      </c>
      <c r="D244" s="24">
        <v>1179.28</v>
      </c>
      <c r="E244" s="235">
        <v>1080250</v>
      </c>
      <c r="F244" s="234"/>
      <c r="G244" s="234"/>
      <c r="H244" s="153">
        <f t="shared" si="35"/>
        <v>6826732.8899999931</v>
      </c>
      <c r="I244" s="411" t="s">
        <v>10</v>
      </c>
    </row>
    <row r="245" spans="2:9" ht="15" thickBot="1">
      <c r="B245" s="408">
        <v>46258</v>
      </c>
      <c r="C245" s="407" t="s">
        <v>31</v>
      </c>
      <c r="D245" s="24">
        <v>3.54</v>
      </c>
      <c r="E245" s="235">
        <v>3240.75</v>
      </c>
      <c r="F245" s="234"/>
      <c r="G245" s="234"/>
      <c r="H245" s="153">
        <f t="shared" si="35"/>
        <v>6823492.1399999931</v>
      </c>
      <c r="I245" s="411" t="s">
        <v>25</v>
      </c>
    </row>
    <row r="246" spans="2:9" ht="29.5" thickBot="1">
      <c r="B246" s="408">
        <v>46258</v>
      </c>
      <c r="C246" s="449" t="s">
        <v>529</v>
      </c>
      <c r="D246" s="24">
        <v>2075.64</v>
      </c>
      <c r="E246" s="235">
        <v>1901341.18</v>
      </c>
      <c r="F246" s="234"/>
      <c r="G246" s="234"/>
      <c r="H246" s="153">
        <f t="shared" si="35"/>
        <v>4922150.9599999934</v>
      </c>
      <c r="I246" s="411" t="s">
        <v>10</v>
      </c>
    </row>
    <row r="247" spans="2:9" ht="15" thickBot="1">
      <c r="B247" s="408">
        <v>46258</v>
      </c>
      <c r="C247" s="407" t="s">
        <v>31</v>
      </c>
      <c r="D247" s="24">
        <v>6.23</v>
      </c>
      <c r="E247" s="235">
        <v>5704.02</v>
      </c>
      <c r="F247" s="234"/>
      <c r="G247" s="234"/>
      <c r="H247" s="153">
        <f t="shared" si="35"/>
        <v>4916446.9399999939</v>
      </c>
      <c r="I247" s="411" t="s">
        <v>25</v>
      </c>
    </row>
    <row r="248" spans="2:9" ht="15" thickBot="1">
      <c r="B248" s="408">
        <v>46258</v>
      </c>
      <c r="C248" s="409" t="s">
        <v>431</v>
      </c>
      <c r="D248" s="24">
        <v>342.64</v>
      </c>
      <c r="E248" s="235">
        <v>313865.32</v>
      </c>
      <c r="F248" s="234"/>
      <c r="G248" s="234"/>
      <c r="H248" s="153">
        <f t="shared" si="35"/>
        <v>4602581.6199999936</v>
      </c>
      <c r="I248" s="411" t="s">
        <v>10</v>
      </c>
    </row>
    <row r="249" spans="2:9" ht="15" thickBot="1">
      <c r="B249" s="408">
        <v>46258</v>
      </c>
      <c r="C249" s="407" t="s">
        <v>31</v>
      </c>
      <c r="D249" s="24">
        <v>1.03</v>
      </c>
      <c r="E249" s="235">
        <v>941.59</v>
      </c>
      <c r="F249" s="234"/>
      <c r="G249" s="234"/>
      <c r="H249" s="153">
        <f t="shared" si="35"/>
        <v>4601640.0299999937</v>
      </c>
      <c r="I249" s="411" t="s">
        <v>25</v>
      </c>
    </row>
    <row r="250" spans="2:9" ht="15" thickBot="1">
      <c r="B250" s="69">
        <v>46259</v>
      </c>
      <c r="C250" s="70" t="s">
        <v>530</v>
      </c>
      <c r="D250" s="72"/>
      <c r="E250" s="73"/>
      <c r="F250" s="381">
        <v>4725.24</v>
      </c>
      <c r="G250" s="72">
        <v>4328444.51</v>
      </c>
      <c r="H250" s="74">
        <f>H249+G250</f>
        <v>8930084.5399999935</v>
      </c>
      <c r="I250" s="75" t="s">
        <v>10</v>
      </c>
    </row>
    <row r="251" spans="2:9" ht="15" thickBot="1">
      <c r="B251" s="69">
        <v>46259</v>
      </c>
      <c r="C251" s="70" t="s">
        <v>425</v>
      </c>
      <c r="D251" s="72"/>
      <c r="E251" s="73"/>
      <c r="F251" s="70">
        <v>23.2</v>
      </c>
      <c r="G251" s="72">
        <v>21250.49</v>
      </c>
      <c r="H251" s="74">
        <f t="shared" ref="H251:H252" si="36">H250+G251</f>
        <v>8951335.0299999937</v>
      </c>
      <c r="I251" s="75" t="s">
        <v>13</v>
      </c>
    </row>
    <row r="252" spans="2:9" ht="15" thickBot="1">
      <c r="B252" s="69">
        <v>46259</v>
      </c>
      <c r="C252" s="70" t="s">
        <v>432</v>
      </c>
      <c r="D252" s="72"/>
      <c r="E252" s="73"/>
      <c r="F252" s="70">
        <v>15.49</v>
      </c>
      <c r="G252" s="72">
        <v>14188.53</v>
      </c>
      <c r="H252" s="74">
        <f t="shared" si="36"/>
        <v>8965523.5599999931</v>
      </c>
      <c r="I252" s="75" t="s">
        <v>13</v>
      </c>
    </row>
    <row r="253" spans="2:9" ht="15" thickBot="1">
      <c r="B253" s="231">
        <v>46259</v>
      </c>
      <c r="C253" s="363" t="s">
        <v>309</v>
      </c>
      <c r="D253" s="24">
        <v>0.35</v>
      </c>
      <c r="E253" s="235">
        <v>318.75</v>
      </c>
      <c r="F253" s="234"/>
      <c r="G253" s="234"/>
      <c r="H253" s="153">
        <f t="shared" ref="H253:H260" si="37">H252-E253</f>
        <v>8965204.8099999931</v>
      </c>
      <c r="I253" s="411" t="s">
        <v>25</v>
      </c>
    </row>
    <row r="254" spans="2:9" ht="15" thickBot="1">
      <c r="B254" s="231">
        <v>46259</v>
      </c>
      <c r="C254" s="363" t="s">
        <v>309</v>
      </c>
      <c r="D254" s="24">
        <v>0.23</v>
      </c>
      <c r="E254" s="235">
        <v>212.82</v>
      </c>
      <c r="F254" s="234"/>
      <c r="G254" s="234"/>
      <c r="H254" s="153">
        <f t="shared" si="37"/>
        <v>8964991.9899999928</v>
      </c>
      <c r="I254" s="411" t="s">
        <v>25</v>
      </c>
    </row>
    <row r="255" spans="2:9" ht="29.5" thickBot="1">
      <c r="B255" s="231">
        <v>46259</v>
      </c>
      <c r="C255" s="410" t="s">
        <v>433</v>
      </c>
      <c r="D255" s="24">
        <v>51.42</v>
      </c>
      <c r="E255" s="235">
        <v>47104.160000000003</v>
      </c>
      <c r="F255" s="234"/>
      <c r="G255" s="234"/>
      <c r="H255" s="153">
        <f t="shared" si="37"/>
        <v>8917887.8299999926</v>
      </c>
      <c r="I255" s="411" t="s">
        <v>10</v>
      </c>
    </row>
    <row r="256" spans="2:9" ht="29.5" thickBot="1">
      <c r="B256" s="231">
        <v>46259</v>
      </c>
      <c r="C256" s="449" t="s">
        <v>531</v>
      </c>
      <c r="D256" s="24">
        <v>74.66</v>
      </c>
      <c r="E256" s="235">
        <v>68387.39</v>
      </c>
      <c r="F256" s="234"/>
      <c r="G256" s="234"/>
      <c r="H256" s="153">
        <f t="shared" si="37"/>
        <v>8849500.439999992</v>
      </c>
      <c r="I256" s="411" t="s">
        <v>10</v>
      </c>
    </row>
    <row r="257" spans="2:9" ht="15" thickBot="1">
      <c r="B257" s="231">
        <v>46259</v>
      </c>
      <c r="C257" s="409" t="s">
        <v>31</v>
      </c>
      <c r="D257" s="24">
        <v>0.22</v>
      </c>
      <c r="E257" s="235">
        <v>205.16</v>
      </c>
      <c r="F257" s="234"/>
      <c r="G257" s="234"/>
      <c r="H257" s="153">
        <f t="shared" si="37"/>
        <v>8849295.2799999919</v>
      </c>
      <c r="I257" s="411" t="s">
        <v>25</v>
      </c>
    </row>
    <row r="258" spans="2:9" ht="29.5" thickBot="1">
      <c r="B258" s="231">
        <v>46259</v>
      </c>
      <c r="C258" s="449" t="s">
        <v>532</v>
      </c>
      <c r="D258" s="24">
        <v>85.7</v>
      </c>
      <c r="E258" s="235">
        <v>78506.929999999993</v>
      </c>
      <c r="F258" s="234"/>
      <c r="G258" s="234"/>
      <c r="H258" s="153">
        <f t="shared" si="37"/>
        <v>8770788.3499999922</v>
      </c>
      <c r="I258" s="411" t="s">
        <v>10</v>
      </c>
    </row>
    <row r="259" spans="2:9" ht="15" thickBot="1">
      <c r="B259" s="231">
        <v>46259</v>
      </c>
      <c r="C259" s="409" t="s">
        <v>31</v>
      </c>
      <c r="D259" s="24">
        <v>0.26</v>
      </c>
      <c r="E259" s="235">
        <v>235.52</v>
      </c>
      <c r="F259" s="234"/>
      <c r="G259" s="234"/>
      <c r="H259" s="153">
        <f t="shared" si="37"/>
        <v>8770552.8299999926</v>
      </c>
      <c r="I259" s="411" t="s">
        <v>25</v>
      </c>
    </row>
    <row r="260" spans="2:9" ht="29.5" thickBot="1">
      <c r="B260" s="231">
        <v>46259</v>
      </c>
      <c r="C260" s="449" t="s">
        <v>533</v>
      </c>
      <c r="D260" s="24">
        <v>17.14</v>
      </c>
      <c r="E260" s="235">
        <v>15701.39</v>
      </c>
      <c r="F260" s="234"/>
      <c r="G260" s="234"/>
      <c r="H260" s="153">
        <f t="shared" si="37"/>
        <v>8754851.439999992</v>
      </c>
      <c r="I260" s="411" t="s">
        <v>10</v>
      </c>
    </row>
    <row r="261" spans="2:9" ht="15" thickBot="1">
      <c r="B261" s="231">
        <v>46259</v>
      </c>
      <c r="C261" s="407" t="s">
        <v>31</v>
      </c>
      <c r="D261" s="24">
        <v>0.05</v>
      </c>
      <c r="E261" s="235">
        <v>47.1</v>
      </c>
      <c r="F261" s="234"/>
      <c r="G261" s="234"/>
      <c r="H261" s="153">
        <f>H260-E261</f>
        <v>8754804.3399999924</v>
      </c>
      <c r="I261" s="411" t="s">
        <v>25</v>
      </c>
    </row>
    <row r="262" spans="2:9" ht="15" thickBot="1">
      <c r="B262" s="69">
        <v>46259</v>
      </c>
      <c r="C262" s="378" t="s">
        <v>534</v>
      </c>
      <c r="D262" s="72"/>
      <c r="E262" s="73"/>
      <c r="F262" s="70">
        <v>76.239999999999995</v>
      </c>
      <c r="G262" s="72">
        <v>70076.039999999994</v>
      </c>
      <c r="H262" s="74">
        <f>H261+G262</f>
        <v>8824880.3799999915</v>
      </c>
      <c r="I262" s="75" t="s">
        <v>10</v>
      </c>
    </row>
    <row r="263" spans="2:9" ht="29.5" thickBot="1">
      <c r="B263" s="231">
        <v>46259</v>
      </c>
      <c r="C263" s="449" t="s">
        <v>535</v>
      </c>
      <c r="D263" s="24">
        <v>683.3</v>
      </c>
      <c r="E263" s="235">
        <v>628055.43999999994</v>
      </c>
      <c r="F263" s="234"/>
      <c r="G263" s="234"/>
      <c r="H263" s="153">
        <f>H262-E263</f>
        <v>8196824.939999992</v>
      </c>
      <c r="I263" s="413" t="s">
        <v>10</v>
      </c>
    </row>
    <row r="264" spans="2:9" ht="15" thickBot="1">
      <c r="B264" s="231">
        <v>46259</v>
      </c>
      <c r="C264" s="407" t="s">
        <v>31</v>
      </c>
      <c r="D264" s="24">
        <v>2.39</v>
      </c>
      <c r="E264" s="235">
        <v>1884.16</v>
      </c>
      <c r="F264" s="234"/>
      <c r="G264" s="234"/>
      <c r="H264" s="153">
        <f>H263-E264</f>
        <v>8194940.7799999919</v>
      </c>
      <c r="I264" s="411" t="s">
        <v>25</v>
      </c>
    </row>
    <row r="265" spans="2:9" ht="15" thickBot="1">
      <c r="B265" s="69">
        <v>46260</v>
      </c>
      <c r="C265" s="70" t="s">
        <v>439</v>
      </c>
      <c r="D265" s="72"/>
      <c r="E265" s="73"/>
      <c r="F265" s="70">
        <v>46.88</v>
      </c>
      <c r="G265" s="72">
        <v>43089.61</v>
      </c>
      <c r="H265" s="74">
        <f>H264+G265</f>
        <v>8238030.3899999922</v>
      </c>
      <c r="I265" s="75" t="s">
        <v>13</v>
      </c>
    </row>
    <row r="266" spans="2:9" ht="15" thickBot="1">
      <c r="B266" s="69">
        <v>46260</v>
      </c>
      <c r="C266" s="70" t="s">
        <v>427</v>
      </c>
      <c r="D266" s="72"/>
      <c r="E266" s="73"/>
      <c r="F266" s="70">
        <v>11.72</v>
      </c>
      <c r="G266" s="72">
        <v>10772.48</v>
      </c>
      <c r="H266" s="74">
        <f>H265+G266</f>
        <v>8248802.8699999927</v>
      </c>
      <c r="I266" s="75" t="s">
        <v>13</v>
      </c>
    </row>
    <row r="267" spans="2:9" ht="15" thickBot="1">
      <c r="B267" s="231">
        <v>46260</v>
      </c>
      <c r="C267" s="363" t="s">
        <v>309</v>
      </c>
      <c r="D267" s="24">
        <v>0.7</v>
      </c>
      <c r="E267" s="235">
        <v>646.34</v>
      </c>
      <c r="F267" s="234"/>
      <c r="G267" s="234"/>
      <c r="H267" s="153">
        <f t="shared" ref="H267:H272" si="38">H266-E267</f>
        <v>8248156.5299999928</v>
      </c>
      <c r="I267" s="413" t="s">
        <v>25</v>
      </c>
    </row>
    <row r="268" spans="2:9" ht="15" thickBot="1">
      <c r="B268" s="231">
        <v>46260</v>
      </c>
      <c r="C268" s="363" t="s">
        <v>309</v>
      </c>
      <c r="D268" s="24">
        <v>0.18</v>
      </c>
      <c r="E268" s="235">
        <v>161.58000000000001</v>
      </c>
      <c r="F268" s="234"/>
      <c r="G268" s="234"/>
      <c r="H268" s="153">
        <f t="shared" si="38"/>
        <v>8247994.9499999927</v>
      </c>
      <c r="I268" s="413" t="s">
        <v>25</v>
      </c>
    </row>
    <row r="269" spans="2:9" ht="29.5" thickBot="1">
      <c r="B269" s="231">
        <v>46260</v>
      </c>
      <c r="C269" s="449" t="s">
        <v>536</v>
      </c>
      <c r="D269" s="24">
        <v>25.7</v>
      </c>
      <c r="E269" s="235">
        <v>23625.59</v>
      </c>
      <c r="F269" s="234"/>
      <c r="G269" s="234"/>
      <c r="H269" s="153">
        <f t="shared" si="38"/>
        <v>8224369.3599999929</v>
      </c>
      <c r="I269" s="413" t="s">
        <v>10</v>
      </c>
    </row>
    <row r="270" spans="2:9" ht="15" thickBot="1">
      <c r="B270" s="231">
        <v>46260</v>
      </c>
      <c r="C270" s="409" t="s">
        <v>31</v>
      </c>
      <c r="D270" s="24">
        <v>0.08</v>
      </c>
      <c r="E270" s="235">
        <v>70.87</v>
      </c>
      <c r="F270" s="234"/>
      <c r="G270" s="234"/>
      <c r="H270" s="153">
        <f t="shared" si="38"/>
        <v>8224298.4899999928</v>
      </c>
      <c r="I270" s="413" t="s">
        <v>25</v>
      </c>
    </row>
    <row r="271" spans="2:9" ht="15" thickBot="1">
      <c r="B271" s="231">
        <v>46260</v>
      </c>
      <c r="C271" s="448" t="s">
        <v>537</v>
      </c>
      <c r="D271" s="24">
        <v>128.52000000000001</v>
      </c>
      <c r="E271" s="235">
        <v>118127.94</v>
      </c>
      <c r="F271" s="234"/>
      <c r="G271" s="234"/>
      <c r="H271" s="153">
        <f t="shared" si="38"/>
        <v>8106170.5499999924</v>
      </c>
      <c r="I271" s="413" t="s">
        <v>10</v>
      </c>
    </row>
    <row r="272" spans="2:9" ht="15" thickBot="1">
      <c r="B272" s="231">
        <v>46260</v>
      </c>
      <c r="C272" s="409" t="s">
        <v>31</v>
      </c>
      <c r="D272" s="24">
        <v>0.39</v>
      </c>
      <c r="E272" s="235">
        <v>354.38</v>
      </c>
      <c r="F272" s="234"/>
      <c r="G272" s="234"/>
      <c r="H272" s="153">
        <f t="shared" si="38"/>
        <v>8105816.1699999925</v>
      </c>
      <c r="I272" s="413" t="s">
        <v>25</v>
      </c>
    </row>
    <row r="273" spans="2:9" ht="15" thickBot="1">
      <c r="B273" s="69">
        <v>46261</v>
      </c>
      <c r="C273" s="70" t="s">
        <v>426</v>
      </c>
      <c r="D273" s="72"/>
      <c r="E273" s="73"/>
      <c r="F273" s="70">
        <v>29.32</v>
      </c>
      <c r="G273" s="72">
        <v>27023.11</v>
      </c>
      <c r="H273" s="74">
        <f>H272+G273</f>
        <v>8132839.2799999928</v>
      </c>
      <c r="I273" s="75" t="s">
        <v>13</v>
      </c>
    </row>
    <row r="274" spans="2:9" ht="15" thickBot="1">
      <c r="B274" s="69">
        <v>46261</v>
      </c>
      <c r="C274" s="70" t="s">
        <v>440</v>
      </c>
      <c r="D274" s="72"/>
      <c r="E274" s="73"/>
      <c r="F274" s="70">
        <v>26.37</v>
      </c>
      <c r="G274" s="72">
        <v>24311.57</v>
      </c>
      <c r="H274" s="74">
        <f>H273+G274</f>
        <v>8157150.8499999931</v>
      </c>
      <c r="I274" s="75" t="s">
        <v>13</v>
      </c>
    </row>
    <row r="275" spans="2:9" ht="15" thickBot="1">
      <c r="B275" s="414">
        <v>46261</v>
      </c>
      <c r="C275" s="363" t="s">
        <v>309</v>
      </c>
      <c r="D275" s="24">
        <v>0.44</v>
      </c>
      <c r="E275" s="235">
        <v>405.34</v>
      </c>
      <c r="F275" s="234"/>
      <c r="G275" s="234"/>
      <c r="H275" s="153">
        <f>H274-E275</f>
        <v>8156745.5099999933</v>
      </c>
      <c r="I275" s="415" t="s">
        <v>25</v>
      </c>
    </row>
    <row r="276" spans="2:9" ht="15" thickBot="1">
      <c r="B276" s="414">
        <v>46261</v>
      </c>
      <c r="C276" s="363" t="s">
        <v>309</v>
      </c>
      <c r="D276" s="24">
        <v>0.4</v>
      </c>
      <c r="E276" s="235">
        <v>364.67</v>
      </c>
      <c r="F276" s="234"/>
      <c r="G276" s="234"/>
      <c r="H276" s="153">
        <f>H275-E276</f>
        <v>8156380.8399999933</v>
      </c>
      <c r="I276" s="415" t="s">
        <v>25</v>
      </c>
    </row>
    <row r="277" spans="2:9" ht="15" thickBot="1">
      <c r="B277" s="414">
        <v>46261</v>
      </c>
      <c r="C277" s="422" t="s">
        <v>450</v>
      </c>
      <c r="D277" s="24">
        <v>76.12</v>
      </c>
      <c r="E277" s="235">
        <v>70164.92</v>
      </c>
      <c r="F277" s="234"/>
      <c r="G277" s="234"/>
      <c r="H277" s="153">
        <f t="shared" ref="H277:H278" si="39">H276-E277</f>
        <v>8086215.9199999934</v>
      </c>
      <c r="I277" s="423" t="s">
        <v>13</v>
      </c>
    </row>
    <row r="278" spans="2:9" ht="29.5" thickBot="1">
      <c r="B278" s="414">
        <v>46261</v>
      </c>
      <c r="C278" s="422" t="s">
        <v>451</v>
      </c>
      <c r="D278" s="24">
        <v>11.85</v>
      </c>
      <c r="E278" s="235">
        <v>10928.12</v>
      </c>
      <c r="F278" s="234"/>
      <c r="G278" s="234"/>
      <c r="H278" s="153">
        <f t="shared" si="39"/>
        <v>8075287.7999999933</v>
      </c>
      <c r="I278" s="423" t="s">
        <v>13</v>
      </c>
    </row>
    <row r="279" spans="2:9" ht="15" thickBot="1">
      <c r="B279" s="69">
        <v>46261</v>
      </c>
      <c r="C279" s="70" t="s">
        <v>538</v>
      </c>
      <c r="D279" s="72"/>
      <c r="E279" s="73"/>
      <c r="F279" s="70">
        <v>127.5</v>
      </c>
      <c r="G279" s="72">
        <v>117530.77</v>
      </c>
      <c r="H279" s="74">
        <f>H278+G279</f>
        <v>8192818.5699999928</v>
      </c>
      <c r="I279" s="75" t="s">
        <v>13</v>
      </c>
    </row>
    <row r="280" spans="2:9" ht="29.5" thickBot="1">
      <c r="B280" s="414">
        <v>46261</v>
      </c>
      <c r="C280" s="422" t="s">
        <v>452</v>
      </c>
      <c r="D280" s="24">
        <v>76.22</v>
      </c>
      <c r="E280" s="235">
        <v>70261.899999999994</v>
      </c>
      <c r="F280" s="234"/>
      <c r="G280" s="234"/>
      <c r="H280" s="153">
        <f>H279-E280</f>
        <v>8122556.6699999925</v>
      </c>
      <c r="I280" s="423" t="s">
        <v>13</v>
      </c>
    </row>
    <row r="281" spans="2:9" ht="29.5" thickBot="1">
      <c r="B281" s="414">
        <v>46261</v>
      </c>
      <c r="C281" s="422" t="s">
        <v>453</v>
      </c>
      <c r="D281" s="24">
        <v>302.67</v>
      </c>
      <c r="E281" s="235">
        <v>279005.18</v>
      </c>
      <c r="F281" s="234"/>
      <c r="G281" s="234"/>
      <c r="H281" s="153">
        <f t="shared" ref="H281:H284" si="40">H280-E281</f>
        <v>7843551.4899999928</v>
      </c>
      <c r="I281" s="423" t="s">
        <v>13</v>
      </c>
    </row>
    <row r="282" spans="2:9" ht="15" thickBot="1">
      <c r="B282" s="414">
        <v>46261</v>
      </c>
      <c r="C282" s="421" t="s">
        <v>454</v>
      </c>
      <c r="D282" s="24">
        <v>6.87</v>
      </c>
      <c r="E282" s="235">
        <v>6330.56</v>
      </c>
      <c r="F282" s="234"/>
      <c r="G282" s="234"/>
      <c r="H282" s="153">
        <f t="shared" si="40"/>
        <v>7837220.9299999932</v>
      </c>
      <c r="I282" s="423" t="s">
        <v>13</v>
      </c>
    </row>
    <row r="283" spans="2:9" ht="15" thickBot="1">
      <c r="B283" s="414">
        <v>46261</v>
      </c>
      <c r="C283" s="421" t="s">
        <v>455</v>
      </c>
      <c r="D283" s="24">
        <v>9.7100000000000009</v>
      </c>
      <c r="E283" s="235">
        <v>8950</v>
      </c>
      <c r="F283" s="234"/>
      <c r="G283" s="234"/>
      <c r="H283" s="153">
        <f t="shared" si="40"/>
        <v>7828270.9299999932</v>
      </c>
      <c r="I283" s="423" t="s">
        <v>13</v>
      </c>
    </row>
    <row r="284" spans="2:9" ht="15" thickBot="1">
      <c r="B284" s="414">
        <v>46261</v>
      </c>
      <c r="C284" s="421" t="s">
        <v>456</v>
      </c>
      <c r="D284" s="24">
        <v>36.85</v>
      </c>
      <c r="E284" s="235">
        <v>33968.28</v>
      </c>
      <c r="F284" s="234"/>
      <c r="G284" s="234"/>
      <c r="H284" s="153">
        <f t="shared" si="40"/>
        <v>7794302.6499999929</v>
      </c>
      <c r="I284" s="423" t="s">
        <v>13</v>
      </c>
    </row>
    <row r="285" spans="2:9" ht="29.5" thickBot="1">
      <c r="B285" s="69">
        <v>46262</v>
      </c>
      <c r="C285" s="378" t="s">
        <v>539</v>
      </c>
      <c r="D285" s="72"/>
      <c r="E285" s="73"/>
      <c r="F285" s="72">
        <v>124.69</v>
      </c>
      <c r="G285" s="72">
        <v>114949.75999999999</v>
      </c>
      <c r="H285" s="74">
        <f>H284+G285</f>
        <v>7909252.4099999927</v>
      </c>
      <c r="I285" s="75" t="s">
        <v>13</v>
      </c>
    </row>
    <row r="286" spans="2:9" ht="15" thickBot="1">
      <c r="B286" s="69">
        <v>46262</v>
      </c>
      <c r="C286" s="70" t="s">
        <v>457</v>
      </c>
      <c r="D286" s="72"/>
      <c r="E286" s="73"/>
      <c r="F286" s="70">
        <v>17.64</v>
      </c>
      <c r="G286" s="72">
        <v>16260.79</v>
      </c>
      <c r="H286" s="74">
        <f>H285+G286</f>
        <v>7925513.1999999927</v>
      </c>
      <c r="I286" s="75" t="s">
        <v>13</v>
      </c>
    </row>
    <row r="287" spans="2:9" ht="15" thickBot="1">
      <c r="B287" s="69">
        <v>46262</v>
      </c>
      <c r="C287" s="70" t="s">
        <v>432</v>
      </c>
      <c r="D287" s="72"/>
      <c r="E287" s="73"/>
      <c r="F287" s="70">
        <v>14.69</v>
      </c>
      <c r="G287" s="72">
        <v>13541.84</v>
      </c>
      <c r="H287" s="74">
        <f>H286+G287</f>
        <v>7939055.0399999926</v>
      </c>
      <c r="I287" s="75" t="s">
        <v>13</v>
      </c>
    </row>
    <row r="288" spans="2:9" ht="15" thickBot="1">
      <c r="B288" s="424">
        <v>46262</v>
      </c>
      <c r="C288" s="363" t="s">
        <v>309</v>
      </c>
      <c r="D288" s="24">
        <v>0.26</v>
      </c>
      <c r="E288" s="235">
        <v>243.91</v>
      </c>
      <c r="F288" s="234"/>
      <c r="G288" s="234"/>
      <c r="H288" s="153">
        <f>H287-E288</f>
        <v>7938811.1299999924</v>
      </c>
      <c r="I288" s="423" t="s">
        <v>13</v>
      </c>
    </row>
    <row r="289" spans="2:9" ht="15" thickBot="1">
      <c r="B289" s="424">
        <v>46262</v>
      </c>
      <c r="C289" s="363" t="s">
        <v>309</v>
      </c>
      <c r="D289" s="24">
        <v>0.22</v>
      </c>
      <c r="E289" s="235">
        <v>203.12</v>
      </c>
      <c r="F289" s="234"/>
      <c r="G289" s="234"/>
      <c r="H289" s="153">
        <f>H288-E289</f>
        <v>7938608.0099999923</v>
      </c>
      <c r="I289" s="423" t="s">
        <v>13</v>
      </c>
    </row>
    <row r="290" spans="2:9" ht="15" thickBot="1">
      <c r="B290" s="424">
        <v>46262</v>
      </c>
      <c r="C290" s="448" t="s">
        <v>540</v>
      </c>
      <c r="D290" s="24">
        <v>291.12</v>
      </c>
      <c r="E290" s="235">
        <v>268375.01</v>
      </c>
      <c r="F290" s="234"/>
      <c r="G290" s="234"/>
      <c r="H290" s="153">
        <f>H289-E290</f>
        <v>7670232.9999999925</v>
      </c>
      <c r="I290" s="423" t="s">
        <v>10</v>
      </c>
    </row>
    <row r="291" spans="2:9" ht="15" thickBot="1">
      <c r="B291" s="424">
        <v>46262</v>
      </c>
      <c r="C291" s="409" t="s">
        <v>31</v>
      </c>
      <c r="D291" s="24">
        <v>0.87</v>
      </c>
      <c r="E291" s="235">
        <v>805.12</v>
      </c>
      <c r="F291" s="234"/>
      <c r="G291" s="234"/>
      <c r="H291" s="153">
        <f>H290-E291</f>
        <v>7669427.8799999924</v>
      </c>
      <c r="I291" s="423" t="s">
        <v>25</v>
      </c>
    </row>
    <row r="292" spans="2:9" ht="15" thickBot="1">
      <c r="B292" s="424">
        <v>46262</v>
      </c>
      <c r="C292" s="425" t="s">
        <v>458</v>
      </c>
      <c r="D292" s="24">
        <v>30.88</v>
      </c>
      <c r="E292" s="235">
        <v>28468.45</v>
      </c>
      <c r="F292" s="234"/>
      <c r="G292" s="234"/>
      <c r="H292" s="153">
        <f t="shared" ref="H292:H297" si="41">H291-E292</f>
        <v>7640959.4299999923</v>
      </c>
      <c r="I292" s="426" t="s">
        <v>13</v>
      </c>
    </row>
    <row r="293" spans="2:9" ht="15" thickBot="1">
      <c r="B293" s="424">
        <v>46262</v>
      </c>
      <c r="C293" s="425" t="s">
        <v>459</v>
      </c>
      <c r="D293" s="24">
        <v>4.3</v>
      </c>
      <c r="E293" s="235">
        <v>3960</v>
      </c>
      <c r="F293" s="234"/>
      <c r="G293" s="234"/>
      <c r="H293" s="153">
        <f t="shared" si="41"/>
        <v>7636999.4299999923</v>
      </c>
      <c r="I293" s="280"/>
    </row>
    <row r="294" spans="2:9" ht="29.5" thickBot="1">
      <c r="B294" s="424">
        <v>46262</v>
      </c>
      <c r="C294" s="449" t="s">
        <v>541</v>
      </c>
      <c r="D294" s="24">
        <v>697.67</v>
      </c>
      <c r="E294" s="235">
        <v>643165.86</v>
      </c>
      <c r="F294" s="234"/>
      <c r="G294" s="234"/>
      <c r="H294" s="153">
        <f t="shared" si="41"/>
        <v>6993833.5699999919</v>
      </c>
      <c r="I294" s="423" t="s">
        <v>10</v>
      </c>
    </row>
    <row r="295" spans="2:9" ht="15" thickBot="1">
      <c r="B295" s="424">
        <v>46262</v>
      </c>
      <c r="C295" s="409" t="s">
        <v>31</v>
      </c>
      <c r="D295" s="24">
        <v>2.09</v>
      </c>
      <c r="E295" s="235">
        <v>1929.49</v>
      </c>
      <c r="F295" s="234"/>
      <c r="G295" s="234"/>
      <c r="H295" s="153">
        <f t="shared" si="41"/>
        <v>6991904.0799999917</v>
      </c>
      <c r="I295" s="423" t="s">
        <v>25</v>
      </c>
    </row>
    <row r="296" spans="2:9" ht="29.5" thickBot="1">
      <c r="B296" s="424">
        <v>46262</v>
      </c>
      <c r="C296" s="449" t="s">
        <v>542</v>
      </c>
      <c r="D296" s="24">
        <v>8.59</v>
      </c>
      <c r="E296" s="235">
        <v>7916.67</v>
      </c>
      <c r="F296" s="234"/>
      <c r="G296" s="234"/>
      <c r="H296" s="153">
        <f t="shared" si="41"/>
        <v>6983987.4099999918</v>
      </c>
      <c r="I296" s="423" t="s">
        <v>10</v>
      </c>
    </row>
    <row r="297" spans="2:9" ht="15" thickBot="1">
      <c r="B297" s="424">
        <v>46262</v>
      </c>
      <c r="C297" s="409" t="s">
        <v>31</v>
      </c>
      <c r="D297" s="24">
        <v>0.03</v>
      </c>
      <c r="E297" s="235">
        <v>23.75</v>
      </c>
      <c r="F297" s="234"/>
      <c r="G297" s="234"/>
      <c r="H297" s="153">
        <f t="shared" si="41"/>
        <v>6983963.6599999918</v>
      </c>
      <c r="I297" s="423" t="s">
        <v>25</v>
      </c>
    </row>
    <row r="298" spans="2:9" ht="15" thickBot="1">
      <c r="B298" s="69">
        <v>46263</v>
      </c>
      <c r="C298" s="70" t="s">
        <v>460</v>
      </c>
      <c r="D298" s="72"/>
      <c r="E298" s="73"/>
      <c r="F298" s="70">
        <v>37.21</v>
      </c>
      <c r="G298" s="72">
        <v>34330.82</v>
      </c>
      <c r="H298" s="74">
        <f>H297+G298</f>
        <v>7018294.4799999921</v>
      </c>
      <c r="I298" s="75" t="s">
        <v>13</v>
      </c>
    </row>
    <row r="299" spans="2:9" ht="15" thickBot="1">
      <c r="B299" s="69">
        <v>46263</v>
      </c>
      <c r="C299" s="70" t="s">
        <v>439</v>
      </c>
      <c r="D299" s="72"/>
      <c r="E299" s="73"/>
      <c r="F299" s="70">
        <v>16.920000000000002</v>
      </c>
      <c r="G299" s="72">
        <v>15609.64</v>
      </c>
      <c r="H299" s="74">
        <f>H298+G299</f>
        <v>7033904.1199999917</v>
      </c>
      <c r="I299" s="75" t="s">
        <v>13</v>
      </c>
    </row>
    <row r="300" spans="2:9" ht="15" thickBot="1">
      <c r="B300" s="231">
        <v>46263</v>
      </c>
      <c r="C300" s="363" t="s">
        <v>309</v>
      </c>
      <c r="D300" s="24">
        <v>0.56000000000000005</v>
      </c>
      <c r="E300" s="235">
        <v>514.96</v>
      </c>
      <c r="F300" s="234"/>
      <c r="G300" s="234"/>
      <c r="H300" s="153">
        <f t="shared" ref="H300:H307" si="42">H299-E300</f>
        <v>7033389.1599999918</v>
      </c>
      <c r="I300" s="426" t="s">
        <v>25</v>
      </c>
    </row>
    <row r="301" spans="2:9" ht="15" thickBot="1">
      <c r="B301" s="231">
        <v>46263</v>
      </c>
      <c r="C301" s="363" t="s">
        <v>309</v>
      </c>
      <c r="D301" s="24">
        <v>0.25</v>
      </c>
      <c r="E301" s="235">
        <v>234.14</v>
      </c>
      <c r="F301" s="234"/>
      <c r="G301" s="234"/>
      <c r="H301" s="153">
        <f t="shared" si="42"/>
        <v>7033155.0199999921</v>
      </c>
      <c r="I301" s="426" t="s">
        <v>25</v>
      </c>
    </row>
    <row r="302" spans="2:9" ht="15" thickBot="1">
      <c r="B302" s="231">
        <v>46263</v>
      </c>
      <c r="C302" s="425" t="s">
        <v>461</v>
      </c>
      <c r="D302" s="24">
        <v>0.89</v>
      </c>
      <c r="E302" s="235">
        <v>795</v>
      </c>
      <c r="F302" s="234"/>
      <c r="G302" s="234"/>
      <c r="H302" s="153">
        <f t="shared" si="42"/>
        <v>7032360.0199999921</v>
      </c>
      <c r="I302" s="426" t="s">
        <v>13</v>
      </c>
    </row>
    <row r="303" spans="2:9" ht="29.5" thickBot="1">
      <c r="B303" s="231">
        <v>46263</v>
      </c>
      <c r="C303" s="449" t="s">
        <v>543</v>
      </c>
      <c r="D303" s="24">
        <v>17.23</v>
      </c>
      <c r="E303" s="235">
        <v>15900</v>
      </c>
      <c r="F303" s="234"/>
      <c r="G303" s="234"/>
      <c r="H303" s="153">
        <f t="shared" si="42"/>
        <v>7016460.0199999921</v>
      </c>
      <c r="I303" s="426" t="s">
        <v>13</v>
      </c>
    </row>
    <row r="304" spans="2:9" ht="29.5" thickBot="1">
      <c r="B304" s="231">
        <v>46263</v>
      </c>
      <c r="C304" s="429" t="s">
        <v>468</v>
      </c>
      <c r="D304" s="24">
        <v>166.73</v>
      </c>
      <c r="E304" s="235">
        <v>153839.47</v>
      </c>
      <c r="F304" s="234"/>
      <c r="G304" s="234"/>
      <c r="H304" s="153">
        <f t="shared" si="42"/>
        <v>6862620.5499999924</v>
      </c>
      <c r="I304" s="426" t="s">
        <v>13</v>
      </c>
    </row>
    <row r="305" spans="2:9" ht="15" thickBot="1">
      <c r="B305" s="231">
        <v>46263</v>
      </c>
      <c r="C305" s="425" t="s">
        <v>462</v>
      </c>
      <c r="D305" s="24">
        <v>120.82</v>
      </c>
      <c r="E305" s="235">
        <v>111476.6</v>
      </c>
      <c r="F305" s="234"/>
      <c r="G305" s="234"/>
      <c r="H305" s="153">
        <f t="shared" si="42"/>
        <v>6751143.9499999927</v>
      </c>
      <c r="I305" s="426" t="s">
        <v>13</v>
      </c>
    </row>
    <row r="306" spans="2:9" ht="29.5" thickBot="1">
      <c r="B306" s="231">
        <v>46263</v>
      </c>
      <c r="C306" s="449" t="s">
        <v>544</v>
      </c>
      <c r="D306" s="24">
        <v>31.88</v>
      </c>
      <c r="E306" s="235">
        <v>29417.81</v>
      </c>
      <c r="F306" s="234"/>
      <c r="G306" s="234"/>
      <c r="H306" s="153">
        <f t="shared" si="42"/>
        <v>6721726.1399999931</v>
      </c>
      <c r="I306" s="426" t="s">
        <v>13</v>
      </c>
    </row>
    <row r="307" spans="2:9" ht="15" thickBot="1">
      <c r="B307" s="231">
        <v>46264</v>
      </c>
      <c r="C307" s="425" t="s">
        <v>463</v>
      </c>
      <c r="D307" s="24">
        <v>0.06</v>
      </c>
      <c r="E307" s="235">
        <v>54</v>
      </c>
      <c r="F307" s="234"/>
      <c r="G307" s="234"/>
      <c r="H307" s="153">
        <f t="shared" si="42"/>
        <v>6721672.1399999931</v>
      </c>
      <c r="I307" s="426" t="s">
        <v>25</v>
      </c>
    </row>
    <row r="308" spans="2:9" ht="15" thickBot="1">
      <c r="B308" s="69">
        <v>46264</v>
      </c>
      <c r="C308" s="70" t="s">
        <v>464</v>
      </c>
      <c r="D308" s="72"/>
      <c r="E308" s="73"/>
      <c r="F308" s="70">
        <v>35.28</v>
      </c>
      <c r="G308" s="72">
        <v>32552.46</v>
      </c>
      <c r="H308" s="74">
        <f>H307+G308</f>
        <v>6754224.5999999931</v>
      </c>
      <c r="I308" s="75" t="s">
        <v>13</v>
      </c>
    </row>
    <row r="309" spans="2:9" ht="15" thickBot="1">
      <c r="B309" s="69">
        <v>46264</v>
      </c>
      <c r="C309" s="70" t="s">
        <v>440</v>
      </c>
      <c r="D309" s="72"/>
      <c r="E309" s="73"/>
      <c r="F309" s="70">
        <v>23.52</v>
      </c>
      <c r="G309" s="72">
        <v>21701.67</v>
      </c>
      <c r="H309" s="74">
        <f>H308+G309</f>
        <v>6775926.269999993</v>
      </c>
      <c r="I309" s="75" t="s">
        <v>13</v>
      </c>
    </row>
    <row r="310" spans="2:9" ht="15" thickBot="1">
      <c r="B310" s="231">
        <v>46264</v>
      </c>
      <c r="C310" s="363" t="s">
        <v>309</v>
      </c>
      <c r="D310" s="24">
        <v>0.53</v>
      </c>
      <c r="E310" s="235">
        <v>488.28</v>
      </c>
      <c r="F310" s="234"/>
      <c r="G310" s="234"/>
      <c r="H310" s="153">
        <f>H309-E310</f>
        <v>6775437.9899999928</v>
      </c>
      <c r="I310" s="426" t="s">
        <v>25</v>
      </c>
    </row>
    <row r="311" spans="2:9" ht="15" thickBot="1">
      <c r="B311" s="231">
        <v>46264</v>
      </c>
      <c r="C311" s="363" t="s">
        <v>309</v>
      </c>
      <c r="D311" s="24">
        <v>0.35</v>
      </c>
      <c r="E311" s="235">
        <v>325.52</v>
      </c>
      <c r="F311" s="234"/>
      <c r="G311" s="234"/>
      <c r="H311" s="153">
        <f>H310-E311</f>
        <v>6775112.4699999932</v>
      </c>
      <c r="I311" s="426" t="s">
        <v>25</v>
      </c>
    </row>
    <row r="312" spans="2:9" ht="15" thickBot="1">
      <c r="B312" s="69">
        <v>46265</v>
      </c>
      <c r="C312" s="70" t="s">
        <v>465</v>
      </c>
      <c r="D312" s="72"/>
      <c r="E312" s="73"/>
      <c r="F312" s="70">
        <v>8.82</v>
      </c>
      <c r="G312" s="72">
        <v>8138.13</v>
      </c>
      <c r="H312" s="74">
        <f>H311+G312</f>
        <v>6783250.5999999931</v>
      </c>
      <c r="I312" s="75" t="s">
        <v>13</v>
      </c>
    </row>
    <row r="313" spans="2:9" ht="15" thickBot="1">
      <c r="B313" s="69">
        <v>46265</v>
      </c>
      <c r="C313" s="70" t="s">
        <v>457</v>
      </c>
      <c r="D313" s="72"/>
      <c r="E313" s="73"/>
      <c r="F313" s="70">
        <v>5.88</v>
      </c>
      <c r="G313" s="72">
        <v>5425.42</v>
      </c>
      <c r="H313" s="74">
        <f>H312+G313</f>
        <v>6788676.019999993</v>
      </c>
      <c r="I313" s="75" t="s">
        <v>13</v>
      </c>
    </row>
    <row r="314" spans="2:9" ht="15" thickBot="1">
      <c r="B314" s="231">
        <v>46265</v>
      </c>
      <c r="C314" s="363" t="s">
        <v>309</v>
      </c>
      <c r="D314" s="24">
        <v>0.13</v>
      </c>
      <c r="E314" s="235">
        <v>122.07</v>
      </c>
      <c r="F314" s="234"/>
      <c r="G314" s="234"/>
      <c r="H314" s="153">
        <f t="shared" ref="H314:H323" si="43">H313-E314</f>
        <v>6788553.9499999927</v>
      </c>
      <c r="I314" s="426" t="s">
        <v>25</v>
      </c>
    </row>
    <row r="315" spans="2:9" ht="15" thickBot="1">
      <c r="B315" s="231">
        <v>46265</v>
      </c>
      <c r="C315" s="363" t="s">
        <v>309</v>
      </c>
      <c r="D315" s="24">
        <v>0.09</v>
      </c>
      <c r="E315" s="235">
        <v>81.38</v>
      </c>
      <c r="F315" s="234"/>
      <c r="G315" s="234"/>
      <c r="H315" s="153">
        <f t="shared" si="43"/>
        <v>6788472.5699999928</v>
      </c>
      <c r="I315" s="426" t="s">
        <v>25</v>
      </c>
    </row>
    <row r="316" spans="2:9" ht="29.5" thickBot="1">
      <c r="B316" s="231">
        <v>46265</v>
      </c>
      <c r="C316" s="429" t="s">
        <v>469</v>
      </c>
      <c r="D316" s="24">
        <v>98.19</v>
      </c>
      <c r="E316" s="235">
        <v>78386.17</v>
      </c>
      <c r="F316" s="234"/>
      <c r="G316" s="234"/>
      <c r="H316" s="153">
        <f t="shared" si="43"/>
        <v>6710086.3999999929</v>
      </c>
      <c r="I316" s="430" t="s">
        <v>10</v>
      </c>
    </row>
    <row r="317" spans="2:9" ht="15" thickBot="1">
      <c r="B317" s="231">
        <v>46265</v>
      </c>
      <c r="C317" s="409" t="s">
        <v>31</v>
      </c>
      <c r="D317" s="24">
        <v>0.28999999999999998</v>
      </c>
      <c r="E317" s="235">
        <v>235.15</v>
      </c>
      <c r="F317" s="234"/>
      <c r="G317" s="234"/>
      <c r="H317" s="153">
        <f t="shared" si="43"/>
        <v>6709851.2499999925</v>
      </c>
      <c r="I317" s="430" t="s">
        <v>25</v>
      </c>
    </row>
    <row r="318" spans="2:9" ht="29.5" thickBot="1">
      <c r="B318" s="231">
        <v>46265</v>
      </c>
      <c r="C318" s="429" t="s">
        <v>470</v>
      </c>
      <c r="D318" s="24">
        <v>115.52</v>
      </c>
      <c r="E318" s="235">
        <v>92220</v>
      </c>
      <c r="F318" s="234"/>
      <c r="G318" s="234"/>
      <c r="H318" s="153">
        <f t="shared" si="43"/>
        <v>6617631.2499999925</v>
      </c>
      <c r="I318" s="430" t="s">
        <v>10</v>
      </c>
    </row>
    <row r="319" spans="2:9" ht="15" thickBot="1">
      <c r="B319" s="231">
        <v>46265</v>
      </c>
      <c r="C319" s="428" t="s">
        <v>31</v>
      </c>
      <c r="D319" s="24">
        <v>0.35</v>
      </c>
      <c r="E319" s="235">
        <v>276.66000000000003</v>
      </c>
      <c r="F319" s="234"/>
      <c r="G319" s="234"/>
      <c r="H319" s="153">
        <f t="shared" si="43"/>
        <v>6617354.5899999924</v>
      </c>
      <c r="I319" s="430" t="s">
        <v>25</v>
      </c>
    </row>
    <row r="320" spans="2:9" ht="29.5" thickBot="1">
      <c r="B320" s="231">
        <v>46265</v>
      </c>
      <c r="C320" s="429" t="s">
        <v>471</v>
      </c>
      <c r="D320" s="24">
        <v>89.62</v>
      </c>
      <c r="E320" s="235">
        <v>71549.25</v>
      </c>
      <c r="F320" s="234"/>
      <c r="G320" s="234"/>
      <c r="H320" s="153">
        <f t="shared" si="43"/>
        <v>6545805.3399999924</v>
      </c>
      <c r="I320" s="430" t="s">
        <v>10</v>
      </c>
    </row>
    <row r="321" spans="1:11" ht="15" thickBot="1">
      <c r="B321" s="231">
        <v>46265</v>
      </c>
      <c r="C321" s="428" t="s">
        <v>31</v>
      </c>
      <c r="D321" s="24">
        <v>0.27</v>
      </c>
      <c r="E321" s="235">
        <v>214.64</v>
      </c>
      <c r="F321" s="234"/>
      <c r="G321" s="234"/>
      <c r="H321" s="153">
        <f t="shared" si="43"/>
        <v>6545590.6999999927</v>
      </c>
      <c r="I321" s="430" t="s">
        <v>25</v>
      </c>
    </row>
    <row r="322" spans="1:11" ht="15" thickBot="1">
      <c r="B322" s="231">
        <v>46265</v>
      </c>
      <c r="C322" s="428" t="s">
        <v>472</v>
      </c>
      <c r="D322" s="24">
        <v>1605.58</v>
      </c>
      <c r="E322" s="235">
        <v>1487658.14</v>
      </c>
      <c r="F322" s="234"/>
      <c r="G322" s="234"/>
      <c r="H322" s="153">
        <f t="shared" si="43"/>
        <v>5057932.5599999931</v>
      </c>
      <c r="I322" s="430" t="s">
        <v>10</v>
      </c>
    </row>
    <row r="323" spans="1:11" ht="15" thickBot="1">
      <c r="B323" s="231">
        <v>46265</v>
      </c>
      <c r="C323" s="428" t="s">
        <v>31</v>
      </c>
      <c r="D323" s="24">
        <v>5.59</v>
      </c>
      <c r="E323" s="235">
        <v>4462.97</v>
      </c>
      <c r="F323" s="234"/>
      <c r="G323" s="234"/>
      <c r="H323" s="153">
        <f t="shared" si="43"/>
        <v>5053469.5899999933</v>
      </c>
      <c r="I323" s="430" t="s">
        <v>25</v>
      </c>
    </row>
    <row r="324" spans="1:11" ht="15" thickBot="1">
      <c r="B324" s="231">
        <v>46265</v>
      </c>
      <c r="C324" s="428" t="s">
        <v>473</v>
      </c>
      <c r="D324" s="24">
        <v>1605.58</v>
      </c>
      <c r="E324" s="235">
        <v>1487658.14</v>
      </c>
      <c r="F324" s="234"/>
      <c r="G324" s="234"/>
      <c r="H324" s="153">
        <f t="shared" ref="H324:H327" si="44">H323-E324</f>
        <v>3565811.4499999937</v>
      </c>
      <c r="I324" s="430" t="s">
        <v>10</v>
      </c>
    </row>
    <row r="325" spans="1:11" ht="15" thickBot="1">
      <c r="B325" s="231">
        <v>46265</v>
      </c>
      <c r="C325" s="428" t="s">
        <v>31</v>
      </c>
      <c r="D325" s="24">
        <v>5.59</v>
      </c>
      <c r="E325" s="235">
        <v>4462.97</v>
      </c>
      <c r="F325" s="234"/>
      <c r="G325" s="234"/>
      <c r="H325" s="153">
        <f t="shared" si="44"/>
        <v>3561348.4799999935</v>
      </c>
      <c r="I325" s="430" t="s">
        <v>25</v>
      </c>
    </row>
    <row r="326" spans="1:11" ht="29.5" thickBot="1">
      <c r="B326" s="231">
        <v>46265</v>
      </c>
      <c r="C326" s="429" t="s">
        <v>474</v>
      </c>
      <c r="D326" s="24">
        <v>13.73</v>
      </c>
      <c r="E326" s="235">
        <v>12719.98</v>
      </c>
      <c r="F326" s="234"/>
      <c r="G326" s="234"/>
      <c r="H326" s="153">
        <f t="shared" si="44"/>
        <v>3548628.4999999935</v>
      </c>
      <c r="I326" s="430" t="s">
        <v>10</v>
      </c>
    </row>
    <row r="327" spans="1:11" ht="15" thickBot="1">
      <c r="B327" s="431">
        <v>46265</v>
      </c>
      <c r="C327" s="435" t="s">
        <v>31</v>
      </c>
      <c r="D327" s="433">
        <v>0.04</v>
      </c>
      <c r="E327" s="432">
        <v>38.15</v>
      </c>
      <c r="G327" s="15"/>
      <c r="H327" s="434">
        <f t="shared" si="44"/>
        <v>3548590.3499999936</v>
      </c>
      <c r="I327" s="436" t="s">
        <v>25</v>
      </c>
    </row>
    <row r="328" spans="1:11" ht="15" thickBot="1">
      <c r="B328" s="431">
        <v>46265</v>
      </c>
      <c r="C328" s="451" t="s">
        <v>463</v>
      </c>
      <c r="D328" s="433"/>
      <c r="E328" s="432">
        <v>75.87</v>
      </c>
      <c r="G328" s="15"/>
      <c r="H328" s="434">
        <f>H327-E328</f>
        <v>3548514.4799999935</v>
      </c>
      <c r="I328" s="450"/>
    </row>
    <row r="329" spans="1:11" ht="21.5" thickBot="1">
      <c r="A329" s="265"/>
      <c r="B329" s="254"/>
      <c r="C329" s="442"/>
      <c r="D329" s="444">
        <f>SUM(D8:D327)</f>
        <v>24250.229999999996</v>
      </c>
      <c r="E329" s="444">
        <f>SUM(E8:E328)</f>
        <v>21796688.150000002</v>
      </c>
      <c r="F329" s="445">
        <f>SUM(F5:F326)</f>
        <v>26713.049999999992</v>
      </c>
      <c r="G329" s="446">
        <f>SUM(G5:G326)</f>
        <v>23274410.539999999</v>
      </c>
      <c r="H329" s="447">
        <v>3548514.48</v>
      </c>
      <c r="I329" s="443"/>
      <c r="J329" s="265"/>
      <c r="K329" s="265"/>
    </row>
    <row r="330" spans="1:11">
      <c r="A330" s="265"/>
      <c r="B330" s="437"/>
      <c r="C330" s="438"/>
      <c r="E330" s="439"/>
      <c r="F330" s="265"/>
      <c r="G330" s="265"/>
      <c r="H330" s="440"/>
      <c r="I330" s="441"/>
      <c r="J330" s="265"/>
      <c r="K330" s="265"/>
    </row>
    <row r="331" spans="1:11" ht="15" thickBot="1">
      <c r="A331" s="265"/>
      <c r="B331" s="437"/>
      <c r="C331" s="438"/>
      <c r="D331" s="439"/>
      <c r="E331" s="439"/>
      <c r="F331" s="265"/>
      <c r="G331" s="265"/>
      <c r="H331" s="440"/>
      <c r="I331" s="441"/>
      <c r="J331" s="265"/>
      <c r="K331" s="265"/>
    </row>
    <row r="332" spans="1:11" ht="21.5" thickBot="1">
      <c r="A332" s="265"/>
      <c r="B332" s="437"/>
      <c r="C332" s="438"/>
      <c r="D332" s="439"/>
      <c r="E332" s="439"/>
      <c r="F332" s="265"/>
      <c r="G332" s="265"/>
      <c r="H332" s="447"/>
      <c r="I332" s="441"/>
      <c r="J332" s="265"/>
      <c r="K332" s="265"/>
    </row>
    <row r="333" spans="1:11">
      <c r="A333" s="265"/>
      <c r="B333" s="437"/>
      <c r="C333" s="438"/>
      <c r="D333" s="439"/>
      <c r="E333" s="439"/>
      <c r="F333" s="265"/>
      <c r="G333" s="265"/>
      <c r="H333" s="440"/>
      <c r="I333" s="441"/>
      <c r="J333" s="265"/>
      <c r="K333" s="265"/>
    </row>
    <row r="334" spans="1:11">
      <c r="A334" s="265"/>
      <c r="B334" s="437"/>
      <c r="C334" s="438"/>
      <c r="D334" s="439"/>
      <c r="E334" s="439"/>
      <c r="F334" s="265"/>
      <c r="G334" s="265"/>
      <c r="H334" s="440"/>
      <c r="I334" s="441"/>
      <c r="J334" s="265"/>
      <c r="K334" s="265"/>
    </row>
    <row r="335" spans="1:1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</row>
    <row r="336" spans="1:1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</row>
    <row r="337" spans="1:1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</row>
    <row r="338" spans="1:1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</row>
  </sheetData>
  <pageMargins left="0.25" right="0.25" top="0.75" bottom="0.75" header="0.3" footer="0.3"/>
  <pageSetup scale="74" orientation="landscape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8"/>
  <sheetViews>
    <sheetView topLeftCell="A338" zoomScaleNormal="100" workbookViewId="0">
      <selection activeCell="B350" sqref="B350:I353"/>
    </sheetView>
  </sheetViews>
  <sheetFormatPr baseColWidth="10" defaultRowHeight="14.5"/>
  <cols>
    <col min="1" max="1" width="7.26953125" customWidth="1"/>
    <col min="2" max="2" width="11.26953125" customWidth="1"/>
    <col min="3" max="3" width="50.1796875" bestFit="1" customWidth="1"/>
    <col min="4" max="4" width="15.54296875" customWidth="1"/>
    <col min="5" max="5" width="19" bestFit="1" customWidth="1"/>
    <col min="6" max="6" width="13.81640625" bestFit="1" customWidth="1"/>
    <col min="7" max="7" width="19" bestFit="1" customWidth="1"/>
    <col min="8" max="8" width="22.7265625" bestFit="1" customWidth="1"/>
    <col min="9" max="9" width="15.453125" bestFit="1" customWidth="1"/>
  </cols>
  <sheetData>
    <row r="1" spans="2:9" ht="15" thickBot="1"/>
    <row r="2" spans="2:9" ht="78.75" customHeight="1" thickBot="1">
      <c r="B2" s="1"/>
      <c r="C2" s="2"/>
      <c r="D2" s="2" t="s">
        <v>75</v>
      </c>
      <c r="E2" s="2"/>
      <c r="F2" s="2"/>
      <c r="G2" s="2"/>
      <c r="H2" s="2" t="s">
        <v>401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46266</v>
      </c>
      <c r="C4" s="70" t="s">
        <v>545</v>
      </c>
      <c r="D4" s="358"/>
      <c r="E4" s="70"/>
      <c r="F4" s="358">
        <v>26.88</v>
      </c>
      <c r="G4" s="72">
        <v>21701.67</v>
      </c>
      <c r="H4" s="74">
        <v>3570184.02</v>
      </c>
      <c r="I4" s="359" t="s">
        <v>13</v>
      </c>
    </row>
    <row r="5" spans="2:9" ht="15" thickBot="1">
      <c r="B5" s="69">
        <v>46266</v>
      </c>
      <c r="C5" s="70" t="s">
        <v>460</v>
      </c>
      <c r="D5" s="358"/>
      <c r="E5" s="72"/>
      <c r="F5" s="72">
        <v>5425.42</v>
      </c>
      <c r="G5" s="72">
        <v>5425.42</v>
      </c>
      <c r="H5" s="74">
        <f>H4+G5</f>
        <v>3575609.44</v>
      </c>
      <c r="I5" s="359" t="s">
        <v>13</v>
      </c>
    </row>
    <row r="6" spans="2:9" ht="15" thickBot="1">
      <c r="B6" s="454">
        <v>46266</v>
      </c>
      <c r="C6" s="363" t="s">
        <v>309</v>
      </c>
      <c r="D6" s="244">
        <v>0.35</v>
      </c>
      <c r="E6" s="246">
        <v>325.52</v>
      </c>
      <c r="F6" s="453"/>
      <c r="G6" s="452"/>
      <c r="H6" s="245">
        <f>H5-E6</f>
        <v>3575283.92</v>
      </c>
      <c r="I6" s="455" t="s">
        <v>25</v>
      </c>
    </row>
    <row r="7" spans="2:9" ht="15" thickBot="1">
      <c r="B7" s="454">
        <v>46266</v>
      </c>
      <c r="C7" s="363" t="s">
        <v>309</v>
      </c>
      <c r="D7" s="247">
        <v>0.09</v>
      </c>
      <c r="E7" s="247">
        <v>81.38</v>
      </c>
      <c r="F7" s="234"/>
      <c r="G7" s="357"/>
      <c r="H7" s="245">
        <f>H6-E7</f>
        <v>3575202.54</v>
      </c>
      <c r="I7" s="455" t="s">
        <v>25</v>
      </c>
    </row>
    <row r="8" spans="2:9" ht="15" thickBot="1">
      <c r="B8" s="69">
        <v>46266</v>
      </c>
      <c r="C8" s="70" t="s">
        <v>546</v>
      </c>
      <c r="D8" s="70"/>
      <c r="E8" s="72"/>
      <c r="F8" s="70"/>
      <c r="G8" s="72">
        <v>4160240.46</v>
      </c>
      <c r="H8" s="74">
        <f>H7+G8</f>
        <v>7735443</v>
      </c>
      <c r="I8" s="359" t="s">
        <v>10</v>
      </c>
    </row>
    <row r="9" spans="2:9" ht="29.5" thickBot="1">
      <c r="B9" s="231">
        <v>46266</v>
      </c>
      <c r="C9" s="456" t="s">
        <v>547</v>
      </c>
      <c r="D9" s="24">
        <v>110.59</v>
      </c>
      <c r="E9" s="235">
        <v>103782.38</v>
      </c>
      <c r="F9" s="234"/>
      <c r="G9" s="234"/>
      <c r="H9" s="245">
        <f>H8-E9</f>
        <v>7631660.6200000001</v>
      </c>
      <c r="I9" s="457" t="s">
        <v>10</v>
      </c>
    </row>
    <row r="10" spans="2:9" ht="15" thickBot="1">
      <c r="B10" s="454">
        <v>46266</v>
      </c>
      <c r="C10" s="451" t="s">
        <v>31</v>
      </c>
      <c r="D10" s="246">
        <v>0.33</v>
      </c>
      <c r="E10" s="277">
        <v>311.33999999999997</v>
      </c>
      <c r="F10" s="458"/>
      <c r="G10" s="459"/>
      <c r="H10" s="245">
        <f>H9-E10</f>
        <v>7631349.2800000003</v>
      </c>
      <c r="I10" s="457" t="s">
        <v>25</v>
      </c>
    </row>
    <row r="11" spans="2:9" ht="15" thickBot="1">
      <c r="B11" s="454">
        <v>46266</v>
      </c>
      <c r="C11" s="451" t="s">
        <v>548</v>
      </c>
      <c r="D11" s="246">
        <v>427.04</v>
      </c>
      <c r="E11" s="246">
        <v>400759.65</v>
      </c>
      <c r="F11" s="458"/>
      <c r="G11" s="459"/>
      <c r="H11" s="245">
        <f>H10-E11</f>
        <v>7230589.6299999999</v>
      </c>
      <c r="I11" s="457" t="s">
        <v>10</v>
      </c>
    </row>
    <row r="12" spans="2:9" ht="15" thickBot="1">
      <c r="B12" s="454">
        <v>46266</v>
      </c>
      <c r="C12" s="451" t="s">
        <v>31</v>
      </c>
      <c r="D12" s="246">
        <v>1.28</v>
      </c>
      <c r="E12" s="461">
        <v>1202.27</v>
      </c>
      <c r="F12" s="452"/>
      <c r="G12" s="460"/>
      <c r="H12" s="245">
        <f t="shared" ref="H12:H14" si="0">H11-E12</f>
        <v>7229387.3600000003</v>
      </c>
      <c r="I12" s="462" t="s">
        <v>25</v>
      </c>
    </row>
    <row r="13" spans="2:9" ht="15" thickBot="1">
      <c r="B13" s="231">
        <v>46266</v>
      </c>
      <c r="C13" s="463" t="s">
        <v>549</v>
      </c>
      <c r="D13" s="24">
        <v>40.39</v>
      </c>
      <c r="E13" s="235">
        <v>37903.4</v>
      </c>
      <c r="F13" s="234"/>
      <c r="G13" s="234"/>
      <c r="H13" s="245">
        <f t="shared" si="0"/>
        <v>7191483.96</v>
      </c>
      <c r="I13" s="462" t="s">
        <v>10</v>
      </c>
    </row>
    <row r="14" spans="2:9" ht="15" thickBot="1">
      <c r="B14" s="231">
        <v>46266</v>
      </c>
      <c r="C14" s="451" t="s">
        <v>31</v>
      </c>
      <c r="D14" s="24">
        <v>0.12</v>
      </c>
      <c r="E14" s="235">
        <v>113.71</v>
      </c>
      <c r="F14" s="234"/>
      <c r="G14" s="234"/>
      <c r="H14" s="245">
        <f t="shared" si="0"/>
        <v>7191370.25</v>
      </c>
      <c r="I14" s="462" t="s">
        <v>25</v>
      </c>
    </row>
    <row r="15" spans="2:9" ht="15" thickBot="1">
      <c r="B15" s="69">
        <v>46267</v>
      </c>
      <c r="C15" s="70" t="s">
        <v>550</v>
      </c>
      <c r="D15" s="72"/>
      <c r="E15" s="73"/>
      <c r="F15" s="70">
        <v>26.12</v>
      </c>
      <c r="G15" s="72">
        <v>24516.61</v>
      </c>
      <c r="H15" s="74">
        <f>H14+G15</f>
        <v>7215886.8600000003</v>
      </c>
      <c r="I15" s="359" t="s">
        <v>13</v>
      </c>
    </row>
    <row r="16" spans="2:9" ht="15" thickBot="1">
      <c r="B16" s="69">
        <v>46267</v>
      </c>
      <c r="C16" s="70" t="s">
        <v>464</v>
      </c>
      <c r="D16" s="72"/>
      <c r="E16" s="73"/>
      <c r="F16" s="72">
        <v>23.22</v>
      </c>
      <c r="G16" s="72">
        <v>21792.54</v>
      </c>
      <c r="H16" s="74">
        <f>H15+G16</f>
        <v>7237679.4000000004</v>
      </c>
      <c r="I16" s="75" t="s">
        <v>13</v>
      </c>
    </row>
    <row r="17" spans="2:9" ht="15" thickBot="1">
      <c r="B17" s="465">
        <v>46267</v>
      </c>
      <c r="C17" s="363" t="s">
        <v>309</v>
      </c>
      <c r="D17" s="246">
        <v>0.39</v>
      </c>
      <c r="E17" s="244">
        <v>367.74</v>
      </c>
      <c r="F17" s="452"/>
      <c r="G17" s="452"/>
      <c r="H17" s="245">
        <f>H16-E17</f>
        <v>7237311.6600000001</v>
      </c>
      <c r="I17" s="464" t="s">
        <v>25</v>
      </c>
    </row>
    <row r="18" spans="2:9" ht="15" thickBot="1">
      <c r="B18" s="281">
        <v>46267</v>
      </c>
      <c r="C18" s="363" t="s">
        <v>309</v>
      </c>
      <c r="D18" s="246">
        <v>0.35</v>
      </c>
      <c r="E18" s="244">
        <v>326.88</v>
      </c>
      <c r="F18" s="236"/>
      <c r="G18" s="236"/>
      <c r="H18" s="245">
        <f t="shared" ref="H18:H24" si="1">H17-E18</f>
        <v>7236984.7800000003</v>
      </c>
      <c r="I18" s="464" t="s">
        <v>25</v>
      </c>
    </row>
    <row r="19" spans="2:9" ht="15" thickBot="1">
      <c r="B19" s="281">
        <v>46267</v>
      </c>
      <c r="C19" s="467" t="s">
        <v>551</v>
      </c>
      <c r="D19" s="246">
        <v>253.72</v>
      </c>
      <c r="E19" s="244">
        <v>240352.56</v>
      </c>
      <c r="F19" s="150"/>
      <c r="G19" s="150"/>
      <c r="H19" s="245">
        <f t="shared" si="1"/>
        <v>6996632.2200000007</v>
      </c>
      <c r="I19" s="468" t="s">
        <v>10</v>
      </c>
    </row>
    <row r="20" spans="2:9" ht="15" thickBot="1">
      <c r="B20" s="281">
        <v>46267</v>
      </c>
      <c r="C20" s="466" t="s">
        <v>31</v>
      </c>
      <c r="D20" s="246">
        <v>0.76</v>
      </c>
      <c r="E20" s="244">
        <v>721.05</v>
      </c>
      <c r="F20" s="150"/>
      <c r="G20" s="150"/>
      <c r="H20" s="245">
        <f t="shared" si="1"/>
        <v>6995911.1700000009</v>
      </c>
      <c r="I20" s="464" t="s">
        <v>25</v>
      </c>
    </row>
    <row r="21" spans="2:9" ht="29.5" thickBot="1">
      <c r="B21" s="281">
        <v>46267</v>
      </c>
      <c r="C21" s="467" t="s">
        <v>553</v>
      </c>
      <c r="D21" s="246">
        <v>1.69</v>
      </c>
      <c r="E21" s="244">
        <v>1604</v>
      </c>
      <c r="F21" s="150"/>
      <c r="G21" s="150"/>
      <c r="H21" s="245">
        <f t="shared" si="1"/>
        <v>6994307.1700000009</v>
      </c>
      <c r="I21" s="468" t="s">
        <v>13</v>
      </c>
    </row>
    <row r="22" spans="2:9" ht="29.5" thickBot="1">
      <c r="B22" s="281">
        <v>46267</v>
      </c>
      <c r="C22" s="467" t="s">
        <v>554</v>
      </c>
      <c r="D22" s="246">
        <v>3.39</v>
      </c>
      <c r="E22" s="244">
        <v>3208</v>
      </c>
      <c r="F22" s="150"/>
      <c r="G22" s="150"/>
      <c r="H22" s="245">
        <f t="shared" si="1"/>
        <v>6991099.1700000009</v>
      </c>
      <c r="I22" s="468" t="s">
        <v>13</v>
      </c>
    </row>
    <row r="23" spans="2:9" ht="29.5" thickBot="1">
      <c r="B23" s="281">
        <v>46267</v>
      </c>
      <c r="C23" s="467" t="s">
        <v>552</v>
      </c>
      <c r="D23" s="246">
        <v>42.29</v>
      </c>
      <c r="E23" s="244">
        <v>40058.76</v>
      </c>
      <c r="F23" s="150"/>
      <c r="G23" s="150"/>
      <c r="H23" s="245">
        <f t="shared" si="1"/>
        <v>6951040.4100000011</v>
      </c>
      <c r="I23" s="468" t="s">
        <v>10</v>
      </c>
    </row>
    <row r="24" spans="2:9" ht="15" thickBot="1">
      <c r="B24" s="281">
        <v>46267</v>
      </c>
      <c r="C24" s="466" t="s">
        <v>31</v>
      </c>
      <c r="D24" s="246">
        <v>0.13</v>
      </c>
      <c r="E24" s="244">
        <v>120.17</v>
      </c>
      <c r="F24" s="150"/>
      <c r="G24" s="150"/>
      <c r="H24" s="245">
        <f t="shared" si="1"/>
        <v>6950920.2400000012</v>
      </c>
      <c r="I24" s="468" t="s">
        <v>25</v>
      </c>
    </row>
    <row r="25" spans="2:9" ht="15" thickBot="1">
      <c r="B25" s="69">
        <v>46268</v>
      </c>
      <c r="C25" s="70" t="s">
        <v>555</v>
      </c>
      <c r="D25" s="72"/>
      <c r="E25" s="73"/>
      <c r="F25" s="70">
        <v>37.49</v>
      </c>
      <c r="G25" s="72">
        <v>35509.800000000003</v>
      </c>
      <c r="H25" s="74">
        <f>H24+G25</f>
        <v>6986430.040000001</v>
      </c>
      <c r="I25" s="75" t="s">
        <v>13</v>
      </c>
    </row>
    <row r="26" spans="2:9" ht="15" thickBot="1">
      <c r="B26" s="69">
        <v>46268</v>
      </c>
      <c r="C26" s="70" t="s">
        <v>465</v>
      </c>
      <c r="D26" s="72"/>
      <c r="E26" s="73"/>
      <c r="F26" s="70">
        <v>23.07</v>
      </c>
      <c r="G26" s="72">
        <v>21852.17</v>
      </c>
      <c r="H26" s="74">
        <f>H25+G26</f>
        <v>7008282.2100000009</v>
      </c>
      <c r="I26" s="75" t="s">
        <v>13</v>
      </c>
    </row>
    <row r="27" spans="2:9" ht="15" thickBot="1">
      <c r="B27" s="281">
        <v>46237</v>
      </c>
      <c r="C27" s="363" t="s">
        <v>309</v>
      </c>
      <c r="D27" s="246">
        <v>0.56000000000000005</v>
      </c>
      <c r="E27" s="244">
        <v>532.64</v>
      </c>
      <c r="F27" s="150"/>
      <c r="G27" s="150"/>
      <c r="H27" s="153">
        <f>H26-E27</f>
        <v>7007749.5700000012</v>
      </c>
      <c r="I27" s="468" t="s">
        <v>25</v>
      </c>
    </row>
    <row r="28" spans="2:9" ht="15" thickBot="1">
      <c r="B28" s="281">
        <v>46237</v>
      </c>
      <c r="C28" s="363" t="s">
        <v>309</v>
      </c>
      <c r="D28" s="246">
        <v>0.35</v>
      </c>
      <c r="E28" s="244">
        <v>327.78</v>
      </c>
      <c r="F28" s="150"/>
      <c r="G28" s="150"/>
      <c r="H28" s="153">
        <f>H27-E28</f>
        <v>7007421.790000001</v>
      </c>
      <c r="I28" s="468" t="s">
        <v>25</v>
      </c>
    </row>
    <row r="29" spans="2:9" ht="15" thickBot="1">
      <c r="B29" s="69">
        <v>46237</v>
      </c>
      <c r="C29" s="70" t="s">
        <v>556</v>
      </c>
      <c r="D29" s="72"/>
      <c r="E29" s="73"/>
      <c r="F29" s="70">
        <v>40.18</v>
      </c>
      <c r="G29" s="72">
        <v>38058.239999999998</v>
      </c>
      <c r="H29" s="74">
        <f>H28+G29</f>
        <v>7045480.0300000012</v>
      </c>
      <c r="I29" s="75" t="s">
        <v>10</v>
      </c>
    </row>
    <row r="30" spans="2:9" ht="29.5" thickBot="1">
      <c r="B30" s="281">
        <v>46237</v>
      </c>
      <c r="C30" s="467" t="s">
        <v>557</v>
      </c>
      <c r="D30" s="246">
        <v>59.47</v>
      </c>
      <c r="E30" s="244">
        <v>56336.7</v>
      </c>
      <c r="F30" s="150"/>
      <c r="G30" s="150"/>
      <c r="H30" s="153">
        <f t="shared" ref="H30:H37" si="2">H29-E30</f>
        <v>6989143.330000001</v>
      </c>
      <c r="I30" s="468" t="s">
        <v>10</v>
      </c>
    </row>
    <row r="31" spans="2:9" ht="15" thickBot="1">
      <c r="B31" s="281">
        <v>46237</v>
      </c>
      <c r="C31" s="466" t="s">
        <v>31</v>
      </c>
      <c r="D31" s="246">
        <v>0.18</v>
      </c>
      <c r="E31" s="244">
        <v>169.01</v>
      </c>
      <c r="F31" s="150"/>
      <c r="G31" s="150"/>
      <c r="H31" s="153">
        <f t="shared" si="2"/>
        <v>6988974.3200000012</v>
      </c>
      <c r="I31" s="468" t="s">
        <v>25</v>
      </c>
    </row>
    <row r="32" spans="2:9" ht="15" thickBot="1">
      <c r="B32" s="281">
        <v>46268</v>
      </c>
      <c r="C32" s="466" t="s">
        <v>558</v>
      </c>
      <c r="D32" s="246">
        <v>774.01</v>
      </c>
      <c r="E32" s="244">
        <v>724329.81</v>
      </c>
      <c r="F32" s="150"/>
      <c r="G32" s="150"/>
      <c r="H32" s="153">
        <f t="shared" si="2"/>
        <v>6264644.5100000016</v>
      </c>
      <c r="I32" s="468" t="s">
        <v>10</v>
      </c>
    </row>
    <row r="33" spans="2:9" ht="15" thickBot="1">
      <c r="B33" s="281">
        <v>46268</v>
      </c>
      <c r="C33" s="466" t="s">
        <v>31</v>
      </c>
      <c r="D33" s="246">
        <v>2.29</v>
      </c>
      <c r="E33" s="244">
        <v>2172.98</v>
      </c>
      <c r="F33" s="150"/>
      <c r="G33" s="150"/>
      <c r="H33" s="153">
        <f t="shared" si="2"/>
        <v>6262471.5300000012</v>
      </c>
      <c r="I33" s="468" t="s">
        <v>25</v>
      </c>
    </row>
    <row r="34" spans="2:9" ht="15" thickBot="1">
      <c r="B34" s="281">
        <v>46268</v>
      </c>
      <c r="C34" s="466" t="s">
        <v>559</v>
      </c>
      <c r="D34" s="246">
        <v>3.92</v>
      </c>
      <c r="E34" s="244">
        <v>3717.26</v>
      </c>
      <c r="F34" s="150"/>
      <c r="G34" s="150"/>
      <c r="H34" s="153">
        <f t="shared" si="2"/>
        <v>6258754.2700000014</v>
      </c>
      <c r="I34" s="468" t="s">
        <v>13</v>
      </c>
    </row>
    <row r="35" spans="2:9" ht="15" thickBot="1">
      <c r="B35" s="281">
        <v>46268</v>
      </c>
      <c r="C35" s="466" t="s">
        <v>560</v>
      </c>
      <c r="D35" s="246">
        <v>11.81</v>
      </c>
      <c r="E35" s="244">
        <v>11184.28</v>
      </c>
      <c r="F35" s="150"/>
      <c r="G35" s="150"/>
      <c r="H35" s="153">
        <f t="shared" si="2"/>
        <v>6247569.9900000012</v>
      </c>
      <c r="I35" s="468" t="s">
        <v>13</v>
      </c>
    </row>
    <row r="36" spans="2:9" ht="15" thickBot="1">
      <c r="B36" s="281">
        <v>46268</v>
      </c>
      <c r="C36" s="466" t="s">
        <v>561</v>
      </c>
      <c r="D36" s="246">
        <v>71.34</v>
      </c>
      <c r="E36" s="244">
        <v>67581.600000000006</v>
      </c>
      <c r="F36" s="150"/>
      <c r="G36" s="150"/>
      <c r="H36" s="153">
        <f t="shared" si="2"/>
        <v>6179988.3900000015</v>
      </c>
      <c r="I36" s="468" t="s">
        <v>13</v>
      </c>
    </row>
    <row r="37" spans="2:9" ht="15" thickBot="1">
      <c r="B37" s="281">
        <v>46268</v>
      </c>
      <c r="C37" s="466" t="s">
        <v>562</v>
      </c>
      <c r="D37" s="246">
        <v>34.94</v>
      </c>
      <c r="E37" s="244">
        <v>33096.160000000003</v>
      </c>
      <c r="F37" s="150"/>
      <c r="G37" s="150"/>
      <c r="H37" s="153">
        <f t="shared" si="2"/>
        <v>6146892.2300000014</v>
      </c>
      <c r="I37" s="468" t="s">
        <v>13</v>
      </c>
    </row>
    <row r="38" spans="2:9" ht="15" thickBot="1">
      <c r="B38" s="69">
        <v>46269</v>
      </c>
      <c r="C38" s="70" t="s">
        <v>545</v>
      </c>
      <c r="D38" s="72"/>
      <c r="E38" s="73"/>
      <c r="F38" s="70">
        <v>17.079999999999998</v>
      </c>
      <c r="G38" s="72">
        <v>16454.71</v>
      </c>
      <c r="H38" s="74">
        <f>H37+G38</f>
        <v>6163346.9400000013</v>
      </c>
      <c r="I38" s="75" t="s">
        <v>13</v>
      </c>
    </row>
    <row r="39" spans="2:9" ht="15" thickBot="1">
      <c r="B39" s="69">
        <v>46269</v>
      </c>
      <c r="C39" s="70" t="s">
        <v>550</v>
      </c>
      <c r="D39" s="72"/>
      <c r="E39" s="73"/>
      <c r="F39" s="72">
        <v>2.85</v>
      </c>
      <c r="G39" s="72">
        <v>2742.46</v>
      </c>
      <c r="H39" s="74">
        <f>H38+G39</f>
        <v>6166089.4000000013</v>
      </c>
      <c r="I39" s="75" t="s">
        <v>13</v>
      </c>
    </row>
    <row r="40" spans="2:9" ht="15" thickBot="1">
      <c r="B40" s="281">
        <v>46269</v>
      </c>
      <c r="C40" s="363" t="s">
        <v>309</v>
      </c>
      <c r="D40" s="246">
        <v>0.25</v>
      </c>
      <c r="E40" s="244">
        <v>246.82</v>
      </c>
      <c r="F40" s="150"/>
      <c r="G40" s="150"/>
      <c r="H40" s="153">
        <f>H39-E40</f>
        <v>6165842.580000001</v>
      </c>
      <c r="I40" s="469" t="s">
        <v>25</v>
      </c>
    </row>
    <row r="41" spans="2:9" ht="15" thickBot="1">
      <c r="B41" s="69">
        <v>46269</v>
      </c>
      <c r="C41" s="70" t="s">
        <v>563</v>
      </c>
      <c r="D41" s="72"/>
      <c r="E41" s="73"/>
      <c r="F41" s="70">
        <v>11.21</v>
      </c>
      <c r="G41" s="72">
        <v>10959.11</v>
      </c>
      <c r="H41" s="74">
        <f>H40+G41</f>
        <v>6176801.6900000013</v>
      </c>
      <c r="I41" s="75" t="s">
        <v>13</v>
      </c>
    </row>
    <row r="42" spans="2:9" ht="15" thickBot="1">
      <c r="B42" s="69">
        <v>46269</v>
      </c>
      <c r="C42" s="70" t="s">
        <v>564</v>
      </c>
      <c r="D42" s="72"/>
      <c r="E42" s="73"/>
      <c r="F42" s="70">
        <v>5.61</v>
      </c>
      <c r="G42" s="72">
        <v>5484.91</v>
      </c>
      <c r="H42" s="74">
        <f>H41+G42</f>
        <v>6182286.6000000015</v>
      </c>
      <c r="I42" s="75" t="s">
        <v>13</v>
      </c>
    </row>
    <row r="43" spans="2:9" ht="15" thickBot="1">
      <c r="B43" s="281">
        <v>46269</v>
      </c>
      <c r="C43" s="363" t="s">
        <v>309</v>
      </c>
      <c r="D43" s="247">
        <v>0.17</v>
      </c>
      <c r="E43" s="244">
        <v>164.38</v>
      </c>
      <c r="F43" s="150"/>
      <c r="G43" s="150"/>
      <c r="H43" s="153">
        <f>H42-E43</f>
        <v>6182122.2200000016</v>
      </c>
      <c r="I43" s="469" t="s">
        <v>25</v>
      </c>
    </row>
    <row r="44" spans="2:9" ht="15" thickBot="1">
      <c r="B44" s="281">
        <v>46269</v>
      </c>
      <c r="C44" s="363" t="s">
        <v>309</v>
      </c>
      <c r="D44" s="246">
        <v>0.08</v>
      </c>
      <c r="E44" s="244">
        <v>82.27</v>
      </c>
      <c r="F44" s="150"/>
      <c r="G44" s="150"/>
      <c r="H44" s="153">
        <f t="shared" ref="H44:H45" si="3">H43-E44</f>
        <v>6182039.950000002</v>
      </c>
      <c r="I44" s="469" t="s">
        <v>25</v>
      </c>
    </row>
    <row r="45" spans="2:9" ht="15" thickBot="1">
      <c r="B45" s="281">
        <v>46269</v>
      </c>
      <c r="C45" s="363" t="s">
        <v>309</v>
      </c>
      <c r="D45" s="246">
        <v>0.04</v>
      </c>
      <c r="E45" s="244">
        <v>41.13</v>
      </c>
      <c r="F45" s="150"/>
      <c r="G45" s="150"/>
      <c r="H45" s="153">
        <f t="shared" si="3"/>
        <v>6181998.8200000022</v>
      </c>
      <c r="I45" s="469" t="s">
        <v>25</v>
      </c>
    </row>
    <row r="46" spans="2:9" ht="15" thickBot="1">
      <c r="B46" s="69">
        <v>46269</v>
      </c>
      <c r="C46" s="70" t="s">
        <v>565</v>
      </c>
      <c r="D46" s="72"/>
      <c r="E46" s="73"/>
      <c r="F46" s="72">
        <v>73.69</v>
      </c>
      <c r="G46" s="72">
        <v>72058.66</v>
      </c>
      <c r="H46" s="74">
        <f>H45+G46</f>
        <v>6254057.4800000023</v>
      </c>
      <c r="I46" s="75" t="s">
        <v>10</v>
      </c>
    </row>
    <row r="47" spans="2:9" ht="15" thickBot="1">
      <c r="B47" s="69">
        <v>46269</v>
      </c>
      <c r="C47" s="70" t="s">
        <v>566</v>
      </c>
      <c r="D47" s="72"/>
      <c r="E47" s="73"/>
      <c r="F47" s="70">
        <v>11.96</v>
      </c>
      <c r="G47" s="72">
        <v>11697.11</v>
      </c>
      <c r="H47" s="74">
        <f>H46+G47</f>
        <v>6265754.5900000026</v>
      </c>
      <c r="I47" s="75" t="s">
        <v>10</v>
      </c>
    </row>
    <row r="48" spans="2:9" ht="15" thickBot="1">
      <c r="B48" s="281">
        <v>46269</v>
      </c>
      <c r="C48" s="470" t="s">
        <v>567</v>
      </c>
      <c r="D48" s="246">
        <v>37.15</v>
      </c>
      <c r="E48" s="244">
        <v>36332.379999999997</v>
      </c>
      <c r="F48" s="150"/>
      <c r="G48" s="150"/>
      <c r="H48" s="153">
        <f t="shared" ref="H48:H66" si="4">H47-E48</f>
        <v>6229422.2100000028</v>
      </c>
      <c r="I48" s="469" t="s">
        <v>10</v>
      </c>
    </row>
    <row r="49" spans="2:9" ht="15" thickBot="1">
      <c r="B49" s="281">
        <v>46269</v>
      </c>
      <c r="C49" s="470" t="s">
        <v>31</v>
      </c>
      <c r="D49" s="246">
        <v>0.11</v>
      </c>
      <c r="E49" s="244">
        <v>108.99</v>
      </c>
      <c r="F49" s="150"/>
      <c r="G49" s="150"/>
      <c r="H49" s="153">
        <f t="shared" si="4"/>
        <v>6229313.2200000025</v>
      </c>
      <c r="I49" s="469" t="s">
        <v>25</v>
      </c>
    </row>
    <row r="50" spans="2:9" ht="15" thickBot="1">
      <c r="B50" s="281">
        <v>46269</v>
      </c>
      <c r="C50" s="471" t="s">
        <v>568</v>
      </c>
      <c r="D50" s="246">
        <v>12.29</v>
      </c>
      <c r="E50" s="244">
        <v>12016.22</v>
      </c>
      <c r="F50" s="150"/>
      <c r="G50" s="150"/>
      <c r="H50" s="153">
        <f t="shared" si="4"/>
        <v>6217297.0000000028</v>
      </c>
      <c r="I50" s="469" t="s">
        <v>13</v>
      </c>
    </row>
    <row r="51" spans="2:9" ht="15" thickBot="1">
      <c r="B51" s="281">
        <v>46269</v>
      </c>
      <c r="C51" s="470" t="s">
        <v>569</v>
      </c>
      <c r="D51" s="246">
        <v>9.66</v>
      </c>
      <c r="E51" s="244">
        <v>9443.24</v>
      </c>
      <c r="F51" s="150"/>
      <c r="G51" s="150"/>
      <c r="H51" s="153">
        <f t="shared" si="4"/>
        <v>6207853.7600000026</v>
      </c>
      <c r="I51" s="469" t="s">
        <v>13</v>
      </c>
    </row>
    <row r="52" spans="2:9" ht="15" thickBot="1">
      <c r="B52" s="281">
        <v>46269</v>
      </c>
      <c r="C52" s="470" t="s">
        <v>570</v>
      </c>
      <c r="D52" s="246">
        <v>102.92</v>
      </c>
      <c r="E52" s="244">
        <v>100641.16</v>
      </c>
      <c r="F52" s="150"/>
      <c r="G52" s="150"/>
      <c r="H52" s="153">
        <f t="shared" si="4"/>
        <v>6107212.6000000024</v>
      </c>
      <c r="I52" s="469" t="s">
        <v>13</v>
      </c>
    </row>
    <row r="53" spans="2:9" ht="15" thickBot="1">
      <c r="B53" s="281">
        <v>46269</v>
      </c>
      <c r="C53" s="470" t="s">
        <v>571</v>
      </c>
      <c r="D53" s="246">
        <v>66.87</v>
      </c>
      <c r="E53" s="244">
        <v>65398.59</v>
      </c>
      <c r="F53" s="150"/>
      <c r="G53" s="150"/>
      <c r="H53" s="153">
        <f t="shared" si="4"/>
        <v>6041814.0100000026</v>
      </c>
      <c r="I53" s="469" t="s">
        <v>13</v>
      </c>
    </row>
    <row r="54" spans="2:9" ht="29.5" thickBot="1">
      <c r="B54" s="281">
        <v>46269</v>
      </c>
      <c r="C54" s="471" t="s">
        <v>572</v>
      </c>
      <c r="D54" s="246">
        <v>3715.42</v>
      </c>
      <c r="E54" s="244">
        <v>3633237.9</v>
      </c>
      <c r="F54" s="150"/>
      <c r="G54" s="150"/>
      <c r="H54" s="153">
        <f t="shared" si="4"/>
        <v>2408576.1100000027</v>
      </c>
      <c r="I54" s="469" t="s">
        <v>10</v>
      </c>
    </row>
    <row r="55" spans="2:9" ht="15" thickBot="1">
      <c r="B55" s="281">
        <v>46269</v>
      </c>
      <c r="C55" s="470" t="s">
        <v>31</v>
      </c>
      <c r="D55" s="246">
        <v>11.15</v>
      </c>
      <c r="E55" s="244">
        <v>10899.71</v>
      </c>
      <c r="F55" s="150"/>
      <c r="G55" s="150"/>
      <c r="H55" s="153">
        <f t="shared" si="4"/>
        <v>2397676.4000000027</v>
      </c>
      <c r="I55" s="469" t="s">
        <v>25</v>
      </c>
    </row>
    <row r="56" spans="2:9" ht="29.5" thickBot="1">
      <c r="B56" s="281">
        <v>46269</v>
      </c>
      <c r="C56" s="471" t="s">
        <v>573</v>
      </c>
      <c r="D56" s="246">
        <v>123.85</v>
      </c>
      <c r="E56" s="244">
        <v>121107.93</v>
      </c>
      <c r="F56" s="150"/>
      <c r="G56" s="150"/>
      <c r="H56" s="153">
        <f t="shared" si="4"/>
        <v>2276568.4700000025</v>
      </c>
      <c r="I56" s="469" t="s">
        <v>10</v>
      </c>
    </row>
    <row r="57" spans="2:9" ht="15" thickBot="1">
      <c r="B57" s="472">
        <v>46269</v>
      </c>
      <c r="C57" s="470" t="s">
        <v>31</v>
      </c>
      <c r="D57" s="246">
        <v>0.37</v>
      </c>
      <c r="E57" s="244">
        <v>363.32</v>
      </c>
      <c r="F57" s="150"/>
      <c r="G57" s="150"/>
      <c r="H57" s="153">
        <f t="shared" si="4"/>
        <v>2276205.1500000027</v>
      </c>
      <c r="I57" s="469" t="s">
        <v>25</v>
      </c>
    </row>
    <row r="58" spans="2:9" ht="29.5" thickBot="1">
      <c r="B58" s="281">
        <v>46269</v>
      </c>
      <c r="C58" s="471" t="s">
        <v>574</v>
      </c>
      <c r="D58" s="246">
        <v>452.52</v>
      </c>
      <c r="E58" s="244">
        <v>442512.23</v>
      </c>
      <c r="F58" s="150"/>
      <c r="G58" s="150"/>
      <c r="H58" s="153">
        <f t="shared" si="4"/>
        <v>1833692.9200000027</v>
      </c>
      <c r="I58" s="469" t="s">
        <v>10</v>
      </c>
    </row>
    <row r="59" spans="2:9" ht="15" thickBot="1">
      <c r="B59" s="472">
        <v>46269</v>
      </c>
      <c r="C59" s="470" t="s">
        <v>70</v>
      </c>
      <c r="D59" s="246">
        <v>1.36</v>
      </c>
      <c r="E59" s="244">
        <v>1327.53</v>
      </c>
      <c r="F59" s="150"/>
      <c r="G59" s="150"/>
      <c r="H59" s="153">
        <f t="shared" si="4"/>
        <v>1832365.3900000027</v>
      </c>
      <c r="I59" s="469" t="s">
        <v>25</v>
      </c>
    </row>
    <row r="60" spans="2:9" ht="15" thickBot="1">
      <c r="B60" s="281">
        <v>46269</v>
      </c>
      <c r="C60" s="470" t="s">
        <v>575</v>
      </c>
      <c r="D60" s="246">
        <v>14.12</v>
      </c>
      <c r="E60" s="244">
        <v>13806.37</v>
      </c>
      <c r="F60" s="150"/>
      <c r="G60" s="150"/>
      <c r="H60" s="153">
        <f t="shared" si="4"/>
        <v>1818559.0200000026</v>
      </c>
      <c r="I60" s="469" t="s">
        <v>10</v>
      </c>
    </row>
    <row r="61" spans="2:9" ht="15" thickBot="1">
      <c r="B61" s="281">
        <v>46269</v>
      </c>
      <c r="C61" s="470" t="s">
        <v>31</v>
      </c>
      <c r="D61" s="246">
        <v>0.04</v>
      </c>
      <c r="E61" s="244">
        <v>41.414000000000001</v>
      </c>
      <c r="F61" s="150"/>
      <c r="G61" s="150"/>
      <c r="H61" s="153">
        <f t="shared" si="4"/>
        <v>1818517.6060000025</v>
      </c>
      <c r="I61" s="469" t="s">
        <v>25</v>
      </c>
    </row>
    <row r="62" spans="2:9" ht="15" thickBot="1">
      <c r="B62" s="281">
        <v>46269</v>
      </c>
      <c r="C62" s="470" t="s">
        <v>576</v>
      </c>
      <c r="D62" s="246">
        <v>33.03</v>
      </c>
      <c r="E62" s="244">
        <v>32295.45</v>
      </c>
      <c r="F62" s="150"/>
      <c r="G62" s="150"/>
      <c r="H62" s="153">
        <f t="shared" si="4"/>
        <v>1786222.1560000025</v>
      </c>
      <c r="I62" s="469" t="s">
        <v>10</v>
      </c>
    </row>
    <row r="63" spans="2:9" ht="15" thickBot="1">
      <c r="B63" s="281">
        <v>46269</v>
      </c>
      <c r="C63" s="470" t="s">
        <v>31</v>
      </c>
      <c r="D63" s="246">
        <v>0.12</v>
      </c>
      <c r="E63" s="244">
        <v>96.88</v>
      </c>
      <c r="F63" s="150"/>
      <c r="G63" s="150"/>
      <c r="H63" s="153">
        <f t="shared" si="4"/>
        <v>1786125.2760000026</v>
      </c>
      <c r="I63" s="469" t="s">
        <v>25</v>
      </c>
    </row>
    <row r="64" spans="2:9" ht="29.5" thickBot="1">
      <c r="B64" s="281">
        <v>46269</v>
      </c>
      <c r="C64" s="471" t="s">
        <v>577</v>
      </c>
      <c r="D64" s="473">
        <v>826.26</v>
      </c>
      <c r="E64" s="244">
        <v>807386.2</v>
      </c>
      <c r="F64" s="150"/>
      <c r="G64" s="150"/>
      <c r="H64" s="153">
        <f t="shared" si="4"/>
        <v>978739.07600000268</v>
      </c>
      <c r="I64" s="469" t="s">
        <v>10</v>
      </c>
    </row>
    <row r="65" spans="2:9" ht="15" thickBot="1">
      <c r="B65" s="281">
        <v>46269</v>
      </c>
      <c r="C65" s="470" t="s">
        <v>31</v>
      </c>
      <c r="D65" s="246">
        <v>2.48</v>
      </c>
      <c r="E65" s="244">
        <v>2422.15</v>
      </c>
      <c r="F65" s="150"/>
      <c r="G65" s="150"/>
      <c r="H65" s="153">
        <f t="shared" si="4"/>
        <v>976316.92600000266</v>
      </c>
      <c r="I65" s="469" t="s">
        <v>25</v>
      </c>
    </row>
    <row r="66" spans="2:9" ht="15" thickBot="1">
      <c r="B66" s="281">
        <v>46269</v>
      </c>
      <c r="C66" s="470" t="s">
        <v>578</v>
      </c>
      <c r="D66" s="246">
        <v>4.45</v>
      </c>
      <c r="E66" s="244">
        <v>4353.18</v>
      </c>
      <c r="F66" s="150"/>
      <c r="G66" s="150"/>
      <c r="H66" s="153">
        <f t="shared" si="4"/>
        <v>971963.7460000026</v>
      </c>
      <c r="I66" s="469" t="s">
        <v>13</v>
      </c>
    </row>
    <row r="67" spans="2:9" ht="15" thickBot="1">
      <c r="B67" s="69">
        <v>46270</v>
      </c>
      <c r="C67" s="70" t="s">
        <v>555</v>
      </c>
      <c r="D67" s="72"/>
      <c r="E67" s="73"/>
      <c r="F67" s="72">
        <v>33.86</v>
      </c>
      <c r="G67" s="73">
        <v>33108.519999999997</v>
      </c>
      <c r="H67" s="74">
        <f>H66+G67</f>
        <v>1005072.2660000026</v>
      </c>
      <c r="I67" s="75" t="s">
        <v>13</v>
      </c>
    </row>
    <row r="68" spans="2:9" ht="15" thickBot="1">
      <c r="B68" s="69">
        <v>46270</v>
      </c>
      <c r="C68" s="70" t="s">
        <v>579</v>
      </c>
      <c r="D68" s="72"/>
      <c r="E68" s="73"/>
      <c r="F68" s="72">
        <v>27.41</v>
      </c>
      <c r="G68" s="73">
        <v>26806.09</v>
      </c>
      <c r="H68" s="74">
        <f>H67+G68</f>
        <v>1031878.3560000026</v>
      </c>
      <c r="I68" s="75" t="s">
        <v>13</v>
      </c>
    </row>
    <row r="69" spans="2:9" ht="15" thickBot="1">
      <c r="B69" s="281">
        <v>46270</v>
      </c>
      <c r="C69" s="363" t="s">
        <v>309</v>
      </c>
      <c r="D69" s="246">
        <v>0.51</v>
      </c>
      <c r="E69" s="244">
        <v>496.62</v>
      </c>
      <c r="F69" s="150"/>
      <c r="G69" s="150"/>
      <c r="H69" s="153">
        <f>H68-E69</f>
        <v>1031381.7360000026</v>
      </c>
      <c r="I69" s="469" t="s">
        <v>25</v>
      </c>
    </row>
    <row r="70" spans="2:9" ht="15" thickBot="1">
      <c r="B70" s="281">
        <v>46270</v>
      </c>
      <c r="C70" s="363" t="s">
        <v>309</v>
      </c>
      <c r="D70" s="246">
        <v>0.41</v>
      </c>
      <c r="E70" s="244">
        <v>402.09</v>
      </c>
      <c r="F70" s="150"/>
      <c r="G70" s="150"/>
      <c r="H70" s="153">
        <f>H69-E70</f>
        <v>1030979.6460000026</v>
      </c>
      <c r="I70" s="469" t="s">
        <v>25</v>
      </c>
    </row>
    <row r="71" spans="2:9" ht="15" thickBot="1">
      <c r="B71" s="281">
        <v>46270</v>
      </c>
      <c r="C71" s="470" t="s">
        <v>580</v>
      </c>
      <c r="D71" s="246">
        <v>34.549999999999997</v>
      </c>
      <c r="E71" s="244">
        <v>33781</v>
      </c>
      <c r="F71" s="150"/>
      <c r="G71" s="150"/>
      <c r="H71" s="153">
        <f>H70-E71</f>
        <v>997198.64600000263</v>
      </c>
      <c r="I71" s="469" t="s">
        <v>13</v>
      </c>
    </row>
    <row r="72" spans="2:9" ht="15" thickBot="1">
      <c r="B72" s="281">
        <v>46270</v>
      </c>
      <c r="C72" s="470" t="s">
        <v>581</v>
      </c>
      <c r="D72" s="246">
        <v>1.5</v>
      </c>
      <c r="E72" s="244">
        <v>1464.73</v>
      </c>
      <c r="F72" s="150"/>
      <c r="G72" s="150"/>
      <c r="H72" s="153">
        <f>H71-E72</f>
        <v>995733.91600000265</v>
      </c>
      <c r="I72" s="469" t="s">
        <v>13</v>
      </c>
    </row>
    <row r="73" spans="2:9" ht="15" thickBot="1">
      <c r="B73" s="69">
        <v>46271</v>
      </c>
      <c r="C73" s="70" t="s">
        <v>563</v>
      </c>
      <c r="D73" s="72"/>
      <c r="E73" s="71"/>
      <c r="F73" s="72">
        <v>48.33</v>
      </c>
      <c r="G73" s="474">
        <v>47263.56</v>
      </c>
      <c r="H73" s="74">
        <f>H72+G73</f>
        <v>1042997.4760000026</v>
      </c>
      <c r="I73" s="75" t="s">
        <v>13</v>
      </c>
    </row>
    <row r="74" spans="2:9" ht="15" thickBot="1">
      <c r="B74" s="281">
        <v>46271</v>
      </c>
      <c r="C74" s="363" t="s">
        <v>309</v>
      </c>
      <c r="D74" s="246">
        <v>0.72</v>
      </c>
      <c r="E74" s="244">
        <v>708.95</v>
      </c>
      <c r="F74" s="150"/>
      <c r="G74" s="150"/>
      <c r="H74" s="153">
        <f>H73-E74</f>
        <v>1042288.5260000026</v>
      </c>
      <c r="I74" s="469" t="s">
        <v>25</v>
      </c>
    </row>
    <row r="75" spans="2:9" ht="15" thickBot="1">
      <c r="B75" s="69">
        <v>46272</v>
      </c>
      <c r="C75" s="70" t="s">
        <v>582</v>
      </c>
      <c r="D75" s="72"/>
      <c r="E75" s="73"/>
      <c r="F75" s="70">
        <v>51.15</v>
      </c>
      <c r="G75" s="72">
        <v>50019.69</v>
      </c>
      <c r="H75" s="74">
        <f>H74+G75</f>
        <v>1092308.2160000026</v>
      </c>
      <c r="I75" s="75" t="s">
        <v>13</v>
      </c>
    </row>
    <row r="76" spans="2:9" ht="15" thickBot="1">
      <c r="B76" s="69">
        <v>46272</v>
      </c>
      <c r="C76" s="70" t="s">
        <v>564</v>
      </c>
      <c r="D76" s="72"/>
      <c r="E76" s="73"/>
      <c r="F76" s="72">
        <v>11.37</v>
      </c>
      <c r="G76" s="72">
        <v>11120.82</v>
      </c>
      <c r="H76" s="74">
        <f>H75+G76</f>
        <v>1103429.0360000026</v>
      </c>
      <c r="I76" s="75" t="s">
        <v>13</v>
      </c>
    </row>
    <row r="77" spans="2:9" ht="15" thickBot="1">
      <c r="B77" s="281">
        <v>46272</v>
      </c>
      <c r="C77" s="363" t="s">
        <v>309</v>
      </c>
      <c r="D77" s="246">
        <v>0.17</v>
      </c>
      <c r="E77" s="244">
        <v>166.81</v>
      </c>
      <c r="F77" s="150"/>
      <c r="G77" s="150"/>
      <c r="H77" s="153">
        <f>H76-E77</f>
        <v>1103262.2260000026</v>
      </c>
      <c r="I77" s="475" t="s">
        <v>25</v>
      </c>
    </row>
    <row r="78" spans="2:9" ht="15" thickBot="1">
      <c r="B78" s="69">
        <v>46272</v>
      </c>
      <c r="C78" s="70" t="s">
        <v>583</v>
      </c>
      <c r="D78" s="72"/>
      <c r="E78" s="73"/>
      <c r="F78" s="70">
        <v>22.83</v>
      </c>
      <c r="G78" s="72">
        <v>22241.69</v>
      </c>
      <c r="H78" s="74">
        <f>H77+G78</f>
        <v>1125503.9160000025</v>
      </c>
      <c r="I78" s="75" t="s">
        <v>13</v>
      </c>
    </row>
    <row r="79" spans="2:9" ht="15" thickBot="1">
      <c r="B79" s="281">
        <v>46272</v>
      </c>
      <c r="C79" s="363" t="s">
        <v>309</v>
      </c>
      <c r="D79" s="246">
        <v>0.77</v>
      </c>
      <c r="E79" s="244">
        <v>750.29</v>
      </c>
      <c r="F79" s="150"/>
      <c r="G79" s="150"/>
      <c r="H79" s="153">
        <f>H78-E79</f>
        <v>1124753.6260000025</v>
      </c>
      <c r="I79" s="475" t="s">
        <v>25</v>
      </c>
    </row>
    <row r="80" spans="2:9" ht="15" thickBot="1">
      <c r="B80" s="281">
        <v>46272</v>
      </c>
      <c r="C80" s="363" t="s">
        <v>309</v>
      </c>
      <c r="D80" s="246">
        <v>0.34</v>
      </c>
      <c r="E80" s="244">
        <v>333.62</v>
      </c>
      <c r="F80" s="150"/>
      <c r="G80" s="150"/>
      <c r="H80" s="153">
        <f>H79-E80</f>
        <v>1124420.0060000024</v>
      </c>
      <c r="I80" s="475" t="s">
        <v>25</v>
      </c>
    </row>
    <row r="81" spans="2:9" ht="15" thickBot="1">
      <c r="B81" s="69">
        <v>46272</v>
      </c>
      <c r="C81" s="70" t="s">
        <v>587</v>
      </c>
      <c r="D81" s="72"/>
      <c r="E81" s="73"/>
      <c r="F81" s="70">
        <v>217.77</v>
      </c>
      <c r="G81" s="72">
        <v>212203.77</v>
      </c>
      <c r="H81" s="74">
        <f>H80+G81</f>
        <v>1336623.7760000024</v>
      </c>
      <c r="I81" s="75" t="s">
        <v>10</v>
      </c>
    </row>
    <row r="82" spans="2:9" ht="15" thickBot="1">
      <c r="B82" s="281">
        <v>46272</v>
      </c>
      <c r="C82" s="476" t="s">
        <v>584</v>
      </c>
      <c r="D82" s="247">
        <v>12.55</v>
      </c>
      <c r="E82" s="477">
        <v>12225.15</v>
      </c>
      <c r="G82" s="15"/>
      <c r="H82" s="153">
        <f>H81-E82</f>
        <v>1324398.6260000025</v>
      </c>
      <c r="I82" s="475" t="s">
        <v>13</v>
      </c>
    </row>
    <row r="83" spans="2:9" ht="15" thickBot="1">
      <c r="B83" s="69">
        <v>46272</v>
      </c>
      <c r="C83" s="70" t="s">
        <v>585</v>
      </c>
      <c r="D83" s="72"/>
      <c r="E83" s="73"/>
      <c r="F83" s="70">
        <v>28.14</v>
      </c>
      <c r="G83" s="72">
        <v>27423.82</v>
      </c>
      <c r="H83" s="74">
        <f>H82+G83</f>
        <v>1351822.4460000026</v>
      </c>
      <c r="I83" s="75" t="s">
        <v>10</v>
      </c>
    </row>
    <row r="84" spans="2:9" ht="15" thickBot="1">
      <c r="B84" s="69">
        <v>46272</v>
      </c>
      <c r="C84" s="70" t="s">
        <v>586</v>
      </c>
      <c r="D84" s="72"/>
      <c r="E84" s="73"/>
      <c r="F84" s="70">
        <v>67.55</v>
      </c>
      <c r="G84" s="72">
        <v>65817.23</v>
      </c>
      <c r="H84" s="74">
        <f>H83+G84</f>
        <v>1417639.6760000025</v>
      </c>
      <c r="I84" s="75" t="s">
        <v>10</v>
      </c>
    </row>
    <row r="85" spans="2:9" ht="15" thickBot="1">
      <c r="B85" s="281">
        <v>46272</v>
      </c>
      <c r="C85" s="476" t="s">
        <v>588</v>
      </c>
      <c r="D85" s="246">
        <v>50.61</v>
      </c>
      <c r="E85" s="244">
        <v>49313.56</v>
      </c>
      <c r="F85" s="150"/>
      <c r="G85" s="150"/>
      <c r="H85" s="153">
        <f t="shared" ref="H85:H92" si="5">H84-E85</f>
        <v>1368326.1160000025</v>
      </c>
      <c r="I85" s="475" t="s">
        <v>13</v>
      </c>
    </row>
    <row r="86" spans="2:9" ht="15" thickBot="1">
      <c r="B86" s="281">
        <v>46272</v>
      </c>
      <c r="C86" s="476" t="s">
        <v>589</v>
      </c>
      <c r="D86" s="246">
        <v>300.22000000000003</v>
      </c>
      <c r="E86" s="244">
        <v>292541.71000000002</v>
      </c>
      <c r="F86" s="150"/>
      <c r="G86" s="150"/>
      <c r="H86" s="153">
        <f t="shared" si="5"/>
        <v>1075784.4060000025</v>
      </c>
      <c r="I86" s="475" t="s">
        <v>10</v>
      </c>
    </row>
    <row r="87" spans="2:9" ht="15" thickBot="1">
      <c r="B87" s="281">
        <v>46272</v>
      </c>
      <c r="C87" s="476" t="s">
        <v>31</v>
      </c>
      <c r="D87" s="246">
        <v>0.9</v>
      </c>
      <c r="E87" s="244">
        <v>877.62</v>
      </c>
      <c r="F87" s="150"/>
      <c r="G87" s="150"/>
      <c r="H87" s="153">
        <f t="shared" si="5"/>
        <v>1074906.7860000024</v>
      </c>
      <c r="I87" s="475" t="s">
        <v>25</v>
      </c>
    </row>
    <row r="88" spans="2:9" ht="15" thickBot="1">
      <c r="B88" s="281">
        <v>46272</v>
      </c>
      <c r="C88" s="476" t="s">
        <v>590</v>
      </c>
      <c r="D88" s="246">
        <v>8.77</v>
      </c>
      <c r="E88" s="244">
        <v>8544.27</v>
      </c>
      <c r="F88" s="150"/>
      <c r="G88" s="150"/>
      <c r="H88" s="153">
        <f t="shared" si="5"/>
        <v>1066362.5160000024</v>
      </c>
      <c r="I88" s="475" t="s">
        <v>13</v>
      </c>
    </row>
    <row r="89" spans="2:9" ht="15" thickBot="1">
      <c r="B89" s="281">
        <v>46272</v>
      </c>
      <c r="C89" s="476" t="s">
        <v>591</v>
      </c>
      <c r="D89" s="246">
        <v>3.74</v>
      </c>
      <c r="E89" s="244">
        <v>3644.98</v>
      </c>
      <c r="F89" s="150"/>
      <c r="G89" s="150"/>
      <c r="H89" s="153">
        <f t="shared" si="5"/>
        <v>1062717.5360000024</v>
      </c>
      <c r="I89" s="475" t="s">
        <v>10</v>
      </c>
    </row>
    <row r="90" spans="2:9" ht="15" thickBot="1">
      <c r="B90" s="281">
        <v>46272</v>
      </c>
      <c r="C90" s="476" t="s">
        <v>31</v>
      </c>
      <c r="D90" s="246">
        <v>0.01</v>
      </c>
      <c r="E90" s="244">
        <v>14</v>
      </c>
      <c r="F90" s="150"/>
      <c r="G90" s="150"/>
      <c r="H90" s="153">
        <f t="shared" si="5"/>
        <v>1062703.5360000024</v>
      </c>
      <c r="I90" s="475" t="s">
        <v>25</v>
      </c>
    </row>
    <row r="91" spans="2:9" ht="29.5" thickBot="1">
      <c r="B91" s="281">
        <v>46272</v>
      </c>
      <c r="C91" s="478" t="s">
        <v>592</v>
      </c>
      <c r="D91" s="246">
        <v>106.56</v>
      </c>
      <c r="E91" s="244">
        <v>103833.22</v>
      </c>
      <c r="F91" s="150"/>
      <c r="G91" s="150"/>
      <c r="H91" s="153">
        <f t="shared" si="5"/>
        <v>958870.31600000244</v>
      </c>
      <c r="I91" s="475" t="s">
        <v>10</v>
      </c>
    </row>
    <row r="92" spans="2:9" ht="15" thickBot="1">
      <c r="B92" s="281">
        <v>46272</v>
      </c>
      <c r="C92" s="476" t="s">
        <v>31</v>
      </c>
      <c r="D92" s="246">
        <v>0.32</v>
      </c>
      <c r="E92" s="244">
        <v>311.49</v>
      </c>
      <c r="F92" s="150"/>
      <c r="G92" s="150"/>
      <c r="H92" s="153">
        <f t="shared" si="5"/>
        <v>958558.82600000245</v>
      </c>
      <c r="I92" s="475" t="s">
        <v>25</v>
      </c>
    </row>
    <row r="93" spans="2:9" ht="15" thickBot="1">
      <c r="B93" s="69">
        <v>46273</v>
      </c>
      <c r="C93" s="70" t="s">
        <v>593</v>
      </c>
      <c r="D93" s="72"/>
      <c r="E93" s="73"/>
      <c r="F93" s="381">
        <v>2921.39</v>
      </c>
      <c r="G93" s="72">
        <v>2846654.16</v>
      </c>
      <c r="H93" s="74">
        <f>H92+G93</f>
        <v>3805212.9860000024</v>
      </c>
      <c r="I93" s="75" t="s">
        <v>10</v>
      </c>
    </row>
    <row r="94" spans="2:9" ht="15" thickBot="1">
      <c r="B94" s="69">
        <v>46273</v>
      </c>
      <c r="C94" s="70" t="s">
        <v>594</v>
      </c>
      <c r="D94" s="72"/>
      <c r="E94" s="73"/>
      <c r="F94" s="70">
        <v>32.729999999999997</v>
      </c>
      <c r="G94" s="72">
        <v>27802.11</v>
      </c>
      <c r="H94" s="74">
        <f>H93+G94</f>
        <v>3833015.0960000022</v>
      </c>
      <c r="I94" s="75" t="s">
        <v>13</v>
      </c>
    </row>
    <row r="95" spans="2:9" ht="15" thickBot="1">
      <c r="B95" s="69">
        <v>46273</v>
      </c>
      <c r="C95" s="70" t="s">
        <v>579</v>
      </c>
      <c r="D95" s="72"/>
      <c r="E95" s="73"/>
      <c r="F95" s="70">
        <v>29.45</v>
      </c>
      <c r="G95" s="72">
        <v>25021.9</v>
      </c>
      <c r="H95" s="74">
        <f>H94+G95</f>
        <v>3858036.9960000021</v>
      </c>
      <c r="I95" s="75" t="s">
        <v>13</v>
      </c>
    </row>
    <row r="96" spans="2:9" ht="15" thickBot="1">
      <c r="B96" s="281">
        <v>46273</v>
      </c>
      <c r="C96" s="363" t="s">
        <v>309</v>
      </c>
      <c r="D96" s="246">
        <v>0.49</v>
      </c>
      <c r="E96" s="244">
        <v>417.03</v>
      </c>
      <c r="F96" s="479"/>
      <c r="G96" s="150"/>
      <c r="H96" s="153">
        <f>H95-E96</f>
        <v>3857619.9660000023</v>
      </c>
      <c r="I96" s="480" t="s">
        <v>25</v>
      </c>
    </row>
    <row r="97" spans="2:9" ht="15" thickBot="1">
      <c r="B97" s="281">
        <v>46273</v>
      </c>
      <c r="C97" s="363" t="s">
        <v>309</v>
      </c>
      <c r="D97" s="246">
        <v>0.44</v>
      </c>
      <c r="E97" s="244">
        <v>375.32</v>
      </c>
      <c r="F97" s="150"/>
      <c r="G97" s="150"/>
      <c r="H97" s="153">
        <f>H96-E97</f>
        <v>3857244.6460000025</v>
      </c>
      <c r="I97" s="480" t="s">
        <v>25</v>
      </c>
    </row>
    <row r="98" spans="2:9" ht="15" thickBot="1">
      <c r="B98" s="69">
        <v>46273</v>
      </c>
      <c r="C98" s="70" t="s">
        <v>595</v>
      </c>
      <c r="D98" s="72"/>
      <c r="E98" s="73"/>
      <c r="F98" s="70">
        <v>85.3</v>
      </c>
      <c r="G98" s="72">
        <v>72468.3</v>
      </c>
      <c r="H98" s="74">
        <f>H97+G98</f>
        <v>3929712.9460000023</v>
      </c>
      <c r="I98" s="75" t="s">
        <v>10</v>
      </c>
    </row>
    <row r="99" spans="2:9" ht="15" thickBot="1">
      <c r="B99" s="281">
        <v>46273</v>
      </c>
      <c r="C99" s="479" t="s">
        <v>596</v>
      </c>
      <c r="D99" s="246">
        <v>44.34</v>
      </c>
      <c r="E99" s="244">
        <v>37671.300000000003</v>
      </c>
      <c r="F99" s="150"/>
      <c r="G99" s="150"/>
      <c r="H99" s="153">
        <f>H98-E99</f>
        <v>3892041.6460000025</v>
      </c>
      <c r="I99" s="480" t="s">
        <v>10</v>
      </c>
    </row>
    <row r="100" spans="2:9" ht="15" thickBot="1">
      <c r="B100" s="281">
        <v>46273</v>
      </c>
      <c r="C100" s="476" t="s">
        <v>31</v>
      </c>
      <c r="D100" s="246">
        <v>0.13</v>
      </c>
      <c r="E100" s="244">
        <v>113.01</v>
      </c>
      <c r="F100" s="150"/>
      <c r="G100" s="150"/>
      <c r="H100" s="153">
        <f>H99-E100</f>
        <v>3891928.6360000027</v>
      </c>
      <c r="I100" s="480" t="s">
        <v>25</v>
      </c>
    </row>
    <row r="101" spans="2:9" ht="15" thickBot="1">
      <c r="B101" s="281">
        <v>46273</v>
      </c>
      <c r="C101" s="479" t="s">
        <v>597</v>
      </c>
      <c r="D101" s="246">
        <v>92.81</v>
      </c>
      <c r="E101" s="244">
        <v>78850</v>
      </c>
      <c r="F101" s="150"/>
      <c r="G101" s="150"/>
      <c r="H101" s="153">
        <f>H100-E101</f>
        <v>3813078.6360000027</v>
      </c>
      <c r="I101" s="480" t="s">
        <v>10</v>
      </c>
    </row>
    <row r="102" spans="2:9" ht="15" thickBot="1">
      <c r="B102" s="481">
        <v>46273</v>
      </c>
      <c r="C102" s="476" t="s">
        <v>31</v>
      </c>
      <c r="D102" s="246">
        <v>0.28000000000000003</v>
      </c>
      <c r="E102" s="244">
        <v>236.55</v>
      </c>
      <c r="F102" s="150"/>
      <c r="G102" s="150"/>
      <c r="H102" s="153">
        <f>H101-E102</f>
        <v>3812842.0860000029</v>
      </c>
      <c r="I102" s="480" t="s">
        <v>25</v>
      </c>
    </row>
    <row r="103" spans="2:9" ht="15" thickBot="1">
      <c r="B103" s="69">
        <v>46273</v>
      </c>
      <c r="C103" s="70" t="s">
        <v>598</v>
      </c>
      <c r="D103" s="72"/>
      <c r="E103" s="73"/>
      <c r="F103" s="70">
        <v>11.58</v>
      </c>
      <c r="G103" s="72">
        <v>9834.85</v>
      </c>
      <c r="H103" s="74">
        <f>H102+G103</f>
        <v>3822676.936000003</v>
      </c>
      <c r="I103" s="75" t="s">
        <v>10</v>
      </c>
    </row>
    <row r="104" spans="2:9" ht="15" thickBot="1">
      <c r="B104" s="69">
        <v>46273</v>
      </c>
      <c r="C104" s="70" t="s">
        <v>599</v>
      </c>
      <c r="D104" s="72"/>
      <c r="E104" s="73"/>
      <c r="F104" s="70">
        <v>23.15</v>
      </c>
      <c r="G104" s="72">
        <v>19669.52</v>
      </c>
      <c r="H104" s="74">
        <f>H103+G104</f>
        <v>3842346.456000003</v>
      </c>
      <c r="I104" s="75" t="s">
        <v>10</v>
      </c>
    </row>
    <row r="105" spans="2:9" ht="29.5" thickBot="1">
      <c r="B105" s="281">
        <v>46273</v>
      </c>
      <c r="C105" s="482" t="s">
        <v>600</v>
      </c>
      <c r="D105" s="246">
        <v>47.95</v>
      </c>
      <c r="E105" s="244">
        <v>40734.54</v>
      </c>
      <c r="F105" s="150"/>
      <c r="G105" s="150"/>
      <c r="H105" s="153">
        <f t="shared" ref="H105:H112" si="6">H104-E105</f>
        <v>3801611.916000003</v>
      </c>
      <c r="I105" s="480" t="s">
        <v>10</v>
      </c>
    </row>
    <row r="106" spans="2:9" ht="15" thickBot="1">
      <c r="B106" s="481">
        <v>46273</v>
      </c>
      <c r="C106" s="476" t="s">
        <v>31</v>
      </c>
      <c r="D106" s="246">
        <v>0.14000000000000001</v>
      </c>
      <c r="E106" s="244">
        <v>122.2</v>
      </c>
      <c r="F106" s="150"/>
      <c r="G106" s="150"/>
      <c r="H106" s="153">
        <f t="shared" si="6"/>
        <v>3801489.7160000028</v>
      </c>
      <c r="I106" s="480" t="s">
        <v>25</v>
      </c>
    </row>
    <row r="107" spans="2:9" ht="15" thickBot="1">
      <c r="B107" s="281">
        <v>46273</v>
      </c>
      <c r="C107" s="479" t="s">
        <v>601</v>
      </c>
      <c r="D107" s="246">
        <v>91.1</v>
      </c>
      <c r="E107" s="244">
        <v>77395.63</v>
      </c>
      <c r="F107" s="150"/>
      <c r="G107" s="150"/>
      <c r="H107" s="153">
        <f t="shared" si="6"/>
        <v>3724094.0860000029</v>
      </c>
      <c r="I107" s="480" t="s">
        <v>10</v>
      </c>
    </row>
    <row r="108" spans="2:9" ht="15" thickBot="1">
      <c r="B108" s="281">
        <v>46273</v>
      </c>
      <c r="C108" s="476" t="s">
        <v>31</v>
      </c>
      <c r="D108" s="246">
        <v>0.27</v>
      </c>
      <c r="E108" s="244">
        <v>232.18</v>
      </c>
      <c r="F108" s="150"/>
      <c r="G108" s="150"/>
      <c r="H108" s="153">
        <f t="shared" si="6"/>
        <v>3723861.9060000028</v>
      </c>
      <c r="I108" s="480" t="s">
        <v>25</v>
      </c>
    </row>
    <row r="109" spans="2:9" ht="15" thickBot="1">
      <c r="B109" s="281">
        <v>46273</v>
      </c>
      <c r="C109" s="479" t="s">
        <v>602</v>
      </c>
      <c r="D109" s="246">
        <v>38.36</v>
      </c>
      <c r="E109" s="244">
        <v>32587.63</v>
      </c>
      <c r="F109" s="150"/>
      <c r="G109" s="150"/>
      <c r="H109" s="153">
        <f t="shared" si="6"/>
        <v>3691274.2760000029</v>
      </c>
      <c r="I109" s="480" t="s">
        <v>10</v>
      </c>
    </row>
    <row r="110" spans="2:9" ht="15" thickBot="1">
      <c r="B110" s="281">
        <v>46273</v>
      </c>
      <c r="C110" s="476" t="s">
        <v>31</v>
      </c>
      <c r="D110" s="246">
        <v>0.12</v>
      </c>
      <c r="E110" s="244">
        <v>97.76</v>
      </c>
      <c r="F110" s="150"/>
      <c r="G110" s="150"/>
      <c r="H110" s="153">
        <f t="shared" si="6"/>
        <v>3691176.5160000031</v>
      </c>
      <c r="I110" s="480" t="s">
        <v>25</v>
      </c>
    </row>
    <row r="111" spans="2:9" ht="15" thickBot="1">
      <c r="B111" s="281">
        <v>46273</v>
      </c>
      <c r="C111" s="479" t="s">
        <v>603</v>
      </c>
      <c r="D111" s="246">
        <v>1004.37</v>
      </c>
      <c r="E111" s="244">
        <v>853278.47</v>
      </c>
      <c r="F111" s="150"/>
      <c r="G111" s="150"/>
      <c r="H111" s="153">
        <f t="shared" si="6"/>
        <v>2837898.0460000029</v>
      </c>
      <c r="I111" s="480" t="s">
        <v>10</v>
      </c>
    </row>
    <row r="112" spans="2:9" ht="15" thickBot="1">
      <c r="B112" s="281">
        <v>46273</v>
      </c>
      <c r="C112" s="476" t="s">
        <v>31</v>
      </c>
      <c r="D112" s="246">
        <v>3</v>
      </c>
      <c r="E112" s="244">
        <v>2559.83</v>
      </c>
      <c r="F112" s="150"/>
      <c r="G112" s="150"/>
      <c r="H112" s="153">
        <f t="shared" si="6"/>
        <v>2835338.2160000028</v>
      </c>
      <c r="I112" s="480" t="s">
        <v>25</v>
      </c>
    </row>
    <row r="113" spans="2:9" ht="15" thickBot="1">
      <c r="B113" s="69">
        <v>46273</v>
      </c>
      <c r="C113" s="70" t="s">
        <v>604</v>
      </c>
      <c r="D113" s="72"/>
      <c r="E113" s="73"/>
      <c r="F113" s="70">
        <v>83.99</v>
      </c>
      <c r="G113" s="72">
        <v>71358.789999999994</v>
      </c>
      <c r="H113" s="74">
        <f>H112+G113</f>
        <v>2906697.0060000028</v>
      </c>
      <c r="I113" s="75" t="s">
        <v>10</v>
      </c>
    </row>
    <row r="114" spans="2:9" ht="15" thickBot="1">
      <c r="B114" s="69">
        <v>46273</v>
      </c>
      <c r="C114" s="70" t="s">
        <v>605</v>
      </c>
      <c r="D114" s="72"/>
      <c r="E114" s="73"/>
      <c r="F114" s="70">
        <v>139.16999999999999</v>
      </c>
      <c r="G114" s="72">
        <v>118235.58</v>
      </c>
      <c r="H114" s="74">
        <f>H113+G114</f>
        <v>3024932.5860000029</v>
      </c>
      <c r="I114" s="75" t="s">
        <v>10</v>
      </c>
    </row>
    <row r="115" spans="2:9" ht="15" thickBot="1">
      <c r="B115" s="69">
        <v>46274</v>
      </c>
      <c r="C115" s="70" t="s">
        <v>606</v>
      </c>
      <c r="D115" s="72"/>
      <c r="E115" s="73"/>
      <c r="F115" s="70">
        <v>62.29</v>
      </c>
      <c r="G115" s="72">
        <v>52916</v>
      </c>
      <c r="H115" s="74">
        <f t="shared" ref="H115:H116" si="7">H114+G115</f>
        <v>3077848.5860000029</v>
      </c>
      <c r="I115" s="75" t="s">
        <v>13</v>
      </c>
    </row>
    <row r="116" spans="2:9" ht="15" thickBot="1">
      <c r="B116" s="69">
        <v>46274</v>
      </c>
      <c r="C116" s="70" t="s">
        <v>582</v>
      </c>
      <c r="D116" s="72"/>
      <c r="E116" s="73"/>
      <c r="F116" s="70">
        <v>32.78</v>
      </c>
      <c r="G116" s="72">
        <v>27850.53</v>
      </c>
      <c r="H116" s="74">
        <f t="shared" si="7"/>
        <v>3105699.1160000027</v>
      </c>
      <c r="I116" s="75" t="s">
        <v>13</v>
      </c>
    </row>
    <row r="117" spans="2:9" ht="15" thickBot="1">
      <c r="B117" s="281">
        <v>46274</v>
      </c>
      <c r="C117" s="363" t="s">
        <v>309</v>
      </c>
      <c r="D117" s="246">
        <v>0.93</v>
      </c>
      <c r="E117" s="244">
        <v>793.74</v>
      </c>
      <c r="F117" s="150"/>
      <c r="G117" s="150"/>
      <c r="H117" s="153">
        <f>H116-E117</f>
        <v>3104905.3760000025</v>
      </c>
      <c r="I117" s="480" t="s">
        <v>13</v>
      </c>
    </row>
    <row r="118" spans="2:9" ht="15" thickBot="1">
      <c r="B118" s="281">
        <v>46274</v>
      </c>
      <c r="C118" s="363" t="s">
        <v>309</v>
      </c>
      <c r="D118" s="246">
        <v>0.49</v>
      </c>
      <c r="E118" s="244">
        <v>417.75</v>
      </c>
      <c r="F118" s="150"/>
      <c r="G118" s="150"/>
      <c r="H118" s="153">
        <f>H117-E118</f>
        <v>3104487.6260000025</v>
      </c>
      <c r="I118" s="480" t="s">
        <v>13</v>
      </c>
    </row>
    <row r="119" spans="2:9" ht="15" thickBot="1">
      <c r="B119" s="281">
        <v>46274</v>
      </c>
      <c r="C119" s="479" t="s">
        <v>607</v>
      </c>
      <c r="D119" s="246">
        <v>14.86</v>
      </c>
      <c r="E119" s="244">
        <v>12622.5</v>
      </c>
      <c r="F119" s="150"/>
      <c r="G119" s="150"/>
      <c r="H119" s="153">
        <f>H118-E119</f>
        <v>3091865.1260000025</v>
      </c>
      <c r="I119" s="480" t="s">
        <v>13</v>
      </c>
    </row>
    <row r="120" spans="2:9" ht="15" thickBot="1">
      <c r="B120" s="281">
        <v>46274</v>
      </c>
      <c r="C120" s="479" t="s">
        <v>608</v>
      </c>
      <c r="D120" s="246">
        <v>33.79</v>
      </c>
      <c r="E120" s="244">
        <v>28703.56</v>
      </c>
      <c r="F120" s="150"/>
      <c r="G120" s="150"/>
      <c r="H120" s="153">
        <f>H119-E120</f>
        <v>3063161.5660000024</v>
      </c>
      <c r="I120" s="480" t="s">
        <v>10</v>
      </c>
    </row>
    <row r="121" spans="2:9" ht="15" thickBot="1">
      <c r="B121" s="281">
        <v>46274</v>
      </c>
      <c r="C121" s="476" t="s">
        <v>31</v>
      </c>
      <c r="D121" s="246">
        <v>0.1</v>
      </c>
      <c r="E121" s="244">
        <v>86.11</v>
      </c>
      <c r="F121" s="150"/>
      <c r="G121" s="150"/>
      <c r="H121" s="153">
        <f>H120-E121</f>
        <v>3063075.4560000026</v>
      </c>
      <c r="I121" s="480" t="s">
        <v>25</v>
      </c>
    </row>
    <row r="122" spans="2:9" ht="15" thickBot="1">
      <c r="B122" s="69">
        <v>46275</v>
      </c>
      <c r="C122" s="70" t="s">
        <v>609</v>
      </c>
      <c r="D122" s="72"/>
      <c r="E122" s="73"/>
      <c r="F122" s="70">
        <v>51.39</v>
      </c>
      <c r="G122" s="72">
        <v>43662.91</v>
      </c>
      <c r="H122" s="74">
        <f>H121+G122</f>
        <v>3106738.3660000027</v>
      </c>
      <c r="I122" s="75" t="s">
        <v>610</v>
      </c>
    </row>
    <row r="123" spans="2:9" ht="15" thickBot="1">
      <c r="B123" s="69">
        <v>46275</v>
      </c>
      <c r="C123" s="70" t="s">
        <v>583</v>
      </c>
      <c r="D123" s="72"/>
      <c r="E123" s="73"/>
      <c r="F123" s="70">
        <v>19.809999999999999</v>
      </c>
      <c r="G123" s="72">
        <v>16829.89</v>
      </c>
      <c r="H123" s="74">
        <f>H122+G123</f>
        <v>3123568.2560000028</v>
      </c>
      <c r="I123" s="75" t="s">
        <v>610</v>
      </c>
    </row>
    <row r="124" spans="2:9" ht="15" thickBot="1">
      <c r="B124" s="281">
        <v>46275</v>
      </c>
      <c r="C124" s="363" t="s">
        <v>309</v>
      </c>
      <c r="D124" s="246">
        <v>0.77</v>
      </c>
      <c r="E124" s="244">
        <v>654.94000000000005</v>
      </c>
      <c r="F124" s="150"/>
      <c r="G124" s="150"/>
      <c r="H124" s="153">
        <f t="shared" ref="H124:H132" si="8">H123-E124</f>
        <v>3122913.3160000029</v>
      </c>
      <c r="I124" s="480" t="s">
        <v>25</v>
      </c>
    </row>
    <row r="125" spans="2:9" ht="15" thickBot="1">
      <c r="B125" s="281">
        <v>46275</v>
      </c>
      <c r="C125" s="363" t="s">
        <v>309</v>
      </c>
      <c r="D125" s="246">
        <v>0.3</v>
      </c>
      <c r="E125" s="244">
        <v>252.44</v>
      </c>
      <c r="F125" s="150"/>
      <c r="G125" s="150"/>
      <c r="H125" s="153">
        <f t="shared" si="8"/>
        <v>3122660.876000003</v>
      </c>
      <c r="I125" s="480" t="s">
        <v>25</v>
      </c>
    </row>
    <row r="126" spans="2:9" ht="15" thickBot="1">
      <c r="B126" s="281">
        <v>46275</v>
      </c>
      <c r="C126" s="479" t="s">
        <v>611</v>
      </c>
      <c r="D126" s="246">
        <v>65.22</v>
      </c>
      <c r="E126" s="244">
        <v>55408.9</v>
      </c>
      <c r="F126" s="150"/>
      <c r="G126" s="150"/>
      <c r="H126" s="153">
        <f t="shared" si="8"/>
        <v>3067251.9760000031</v>
      </c>
      <c r="I126" s="480" t="s">
        <v>13</v>
      </c>
    </row>
    <row r="127" spans="2:9" ht="15" thickBot="1">
      <c r="B127" s="281">
        <v>46275</v>
      </c>
      <c r="C127" s="479" t="s">
        <v>612</v>
      </c>
      <c r="D127" s="246">
        <v>17.53</v>
      </c>
      <c r="E127" s="244">
        <v>14891.25</v>
      </c>
      <c r="F127" s="150"/>
      <c r="G127" s="150"/>
      <c r="H127" s="153">
        <f t="shared" si="8"/>
        <v>3052360.7260000031</v>
      </c>
      <c r="I127" s="480" t="s">
        <v>13</v>
      </c>
    </row>
    <row r="128" spans="2:9" ht="15" thickBot="1">
      <c r="B128" s="281">
        <v>46275</v>
      </c>
      <c r="C128" s="479" t="s">
        <v>613</v>
      </c>
      <c r="D128" s="246">
        <v>23.38</v>
      </c>
      <c r="E128" s="244">
        <v>19865</v>
      </c>
      <c r="F128" s="150"/>
      <c r="G128" s="150"/>
      <c r="H128" s="153">
        <f t="shared" si="8"/>
        <v>3032495.7260000031</v>
      </c>
      <c r="I128" s="480" t="s">
        <v>13</v>
      </c>
    </row>
    <row r="129" spans="1:10" ht="15" thickBot="1">
      <c r="B129" s="281">
        <v>46275</v>
      </c>
      <c r="C129" s="479" t="s">
        <v>614</v>
      </c>
      <c r="D129" s="246">
        <v>97.43</v>
      </c>
      <c r="E129" s="244">
        <v>82773.710000000006</v>
      </c>
      <c r="F129" s="150"/>
      <c r="G129" s="150"/>
      <c r="H129" s="153">
        <f t="shared" si="8"/>
        <v>2949722.0160000031</v>
      </c>
      <c r="I129" s="480" t="s">
        <v>10</v>
      </c>
    </row>
    <row r="130" spans="1:10" ht="15" thickBot="1">
      <c r="B130" s="281">
        <v>46275</v>
      </c>
      <c r="C130" s="476" t="s">
        <v>31</v>
      </c>
      <c r="D130" s="246">
        <v>0.28999999999999998</v>
      </c>
      <c r="E130" s="244">
        <v>248.32</v>
      </c>
      <c r="F130" s="150"/>
      <c r="G130" s="150"/>
      <c r="H130" s="153">
        <f t="shared" si="8"/>
        <v>2949473.6960000033</v>
      </c>
      <c r="I130" s="480" t="s">
        <v>25</v>
      </c>
    </row>
    <row r="131" spans="1:10" ht="15" thickBot="1">
      <c r="B131" s="281">
        <v>46275</v>
      </c>
      <c r="C131" s="479" t="s">
        <v>615</v>
      </c>
      <c r="D131" s="246">
        <v>38.97</v>
      </c>
      <c r="E131" s="244">
        <v>33109.480000000003</v>
      </c>
      <c r="F131" s="150"/>
      <c r="G131" s="150"/>
      <c r="H131" s="153">
        <f t="shared" si="8"/>
        <v>2916364.2160000033</v>
      </c>
      <c r="I131" s="480" t="s">
        <v>10</v>
      </c>
    </row>
    <row r="132" spans="1:10" ht="15" thickBot="1">
      <c r="B132" s="281">
        <v>46275</v>
      </c>
      <c r="C132" s="479" t="s">
        <v>31</v>
      </c>
      <c r="D132" s="246">
        <v>0.12</v>
      </c>
      <c r="E132" s="484">
        <v>99.32</v>
      </c>
      <c r="F132" s="150"/>
      <c r="G132" s="150"/>
      <c r="H132" s="153">
        <f t="shared" si="8"/>
        <v>2916264.8960000034</v>
      </c>
      <c r="I132" s="486" t="s">
        <v>25</v>
      </c>
    </row>
    <row r="133" spans="1:10" ht="15" thickBot="1">
      <c r="B133" s="69">
        <v>46275</v>
      </c>
      <c r="C133" s="70" t="s">
        <v>616</v>
      </c>
      <c r="D133" s="71"/>
      <c r="E133" s="72"/>
      <c r="F133" s="487">
        <v>130.1</v>
      </c>
      <c r="G133" s="73">
        <v>110527.2</v>
      </c>
      <c r="H133" s="74">
        <f>H132+G133</f>
        <v>3026792.0960000036</v>
      </c>
      <c r="I133" s="75" t="s">
        <v>10</v>
      </c>
    </row>
    <row r="134" spans="1:10" ht="15" thickBot="1">
      <c r="B134" s="281">
        <v>46275</v>
      </c>
      <c r="C134" s="483" t="s">
        <v>617</v>
      </c>
      <c r="D134" s="246">
        <v>38.840000000000003</v>
      </c>
      <c r="E134" s="485">
        <v>33000</v>
      </c>
      <c r="F134" s="150"/>
      <c r="G134" s="150"/>
      <c r="H134" s="153">
        <f t="shared" ref="H134:H142" si="9">H133-E134</f>
        <v>2993792.0960000036</v>
      </c>
      <c r="I134" s="486" t="s">
        <v>10</v>
      </c>
    </row>
    <row r="135" spans="1:10" ht="15" thickBot="1">
      <c r="B135" s="488">
        <v>46275</v>
      </c>
      <c r="C135" s="483" t="s">
        <v>31</v>
      </c>
      <c r="D135" s="246">
        <v>0.12</v>
      </c>
      <c r="E135" s="244">
        <v>99</v>
      </c>
      <c r="F135" s="150"/>
      <c r="G135" s="150"/>
      <c r="H135" s="153">
        <f t="shared" si="9"/>
        <v>2993693.0960000036</v>
      </c>
      <c r="I135" s="486" t="s">
        <v>25</v>
      </c>
    </row>
    <row r="136" spans="1:10" ht="15" thickBot="1">
      <c r="B136" s="281">
        <v>46275</v>
      </c>
      <c r="C136" s="483" t="s">
        <v>618</v>
      </c>
      <c r="D136" s="246">
        <v>24.36</v>
      </c>
      <c r="E136" s="244">
        <v>20693.43</v>
      </c>
      <c r="F136" s="150"/>
      <c r="G136" s="150"/>
      <c r="H136" s="153">
        <f t="shared" si="9"/>
        <v>2972999.6660000035</v>
      </c>
      <c r="I136" s="486" t="s">
        <v>10</v>
      </c>
    </row>
    <row r="137" spans="1:10" ht="15" thickBot="1">
      <c r="B137" s="281">
        <v>46275</v>
      </c>
      <c r="C137" s="483" t="s">
        <v>31</v>
      </c>
      <c r="D137" s="246">
        <v>7.0000000000000007E-2</v>
      </c>
      <c r="E137" s="244">
        <v>62.08</v>
      </c>
      <c r="F137" s="150"/>
      <c r="G137" s="150"/>
      <c r="H137" s="153">
        <f t="shared" si="9"/>
        <v>2972937.5860000034</v>
      </c>
      <c r="I137" s="486" t="s">
        <v>25</v>
      </c>
    </row>
    <row r="138" spans="1:10" ht="15" thickBot="1">
      <c r="B138" s="281">
        <v>46275</v>
      </c>
      <c r="C138" s="483" t="s">
        <v>619</v>
      </c>
      <c r="D138" s="246">
        <v>19.39</v>
      </c>
      <c r="E138" s="244">
        <v>16476.66</v>
      </c>
      <c r="F138" s="150"/>
      <c r="G138" s="150"/>
      <c r="H138" s="153">
        <f t="shared" si="9"/>
        <v>2956460.9260000032</v>
      </c>
      <c r="I138" s="486" t="s">
        <v>13</v>
      </c>
    </row>
    <row r="139" spans="1:10" ht="15" thickBot="1">
      <c r="B139" s="281">
        <v>46275</v>
      </c>
      <c r="C139" s="483" t="s">
        <v>620</v>
      </c>
      <c r="D139" s="246">
        <v>1.66</v>
      </c>
      <c r="E139" s="244">
        <v>1411.46</v>
      </c>
      <c r="F139" s="150"/>
      <c r="G139" s="150"/>
      <c r="H139" s="153">
        <f t="shared" si="9"/>
        <v>2955049.4660000033</v>
      </c>
      <c r="I139" s="486" t="s">
        <v>13</v>
      </c>
    </row>
    <row r="140" spans="1:10" ht="15" thickBot="1">
      <c r="A140" t="s">
        <v>357</v>
      </c>
      <c r="B140" s="281">
        <v>46275</v>
      </c>
      <c r="C140" s="483" t="s">
        <v>621</v>
      </c>
      <c r="D140" s="246">
        <v>6.5</v>
      </c>
      <c r="E140" s="244">
        <v>5522.68</v>
      </c>
      <c r="F140" s="150"/>
      <c r="G140" s="150"/>
      <c r="H140" s="153">
        <f t="shared" si="9"/>
        <v>2949526.7860000031</v>
      </c>
      <c r="I140" s="486" t="s">
        <v>13</v>
      </c>
    </row>
    <row r="141" spans="1:10" ht="15" thickBot="1">
      <c r="B141" s="281">
        <v>46275</v>
      </c>
      <c r="C141" s="483" t="s">
        <v>622</v>
      </c>
      <c r="D141" s="246">
        <v>38.97</v>
      </c>
      <c r="E141" s="244">
        <v>33109.480000000003</v>
      </c>
      <c r="F141" s="150"/>
      <c r="G141" s="150"/>
      <c r="H141" s="153">
        <f t="shared" si="9"/>
        <v>2916417.3060000031</v>
      </c>
      <c r="I141" s="486" t="s">
        <v>10</v>
      </c>
    </row>
    <row r="142" spans="1:10" ht="15" thickBot="1">
      <c r="B142" s="281">
        <v>46275</v>
      </c>
      <c r="C142" s="483" t="s">
        <v>31</v>
      </c>
      <c r="D142" s="246">
        <v>0.12</v>
      </c>
      <c r="E142" s="244">
        <v>99.32</v>
      </c>
      <c r="F142" s="150"/>
      <c r="G142" s="150"/>
      <c r="H142" s="153">
        <f t="shared" si="9"/>
        <v>2916317.9860000033</v>
      </c>
      <c r="I142" s="486" t="s">
        <v>25</v>
      </c>
    </row>
    <row r="143" spans="1:10" ht="15" thickBot="1">
      <c r="B143" s="69">
        <v>46275</v>
      </c>
      <c r="C143" s="70" t="s">
        <v>626</v>
      </c>
      <c r="D143" s="72"/>
      <c r="E143" s="73"/>
      <c r="F143" s="72">
        <v>70</v>
      </c>
      <c r="G143" s="72">
        <v>58948.45</v>
      </c>
      <c r="H143" s="74">
        <f>H142+G143</f>
        <v>2975266.4360000035</v>
      </c>
      <c r="I143" s="75" t="s">
        <v>10</v>
      </c>
      <c r="J143" s="357"/>
    </row>
    <row r="144" spans="1:10" ht="15" thickBot="1">
      <c r="B144" s="69">
        <v>46276</v>
      </c>
      <c r="C144" s="70" t="s">
        <v>594</v>
      </c>
      <c r="D144" s="72"/>
      <c r="E144" s="73"/>
      <c r="F144" s="72">
        <v>25486.63</v>
      </c>
      <c r="G144" s="72">
        <v>25486.63</v>
      </c>
      <c r="H144" s="74">
        <f>H143+G144</f>
        <v>3000753.0660000034</v>
      </c>
      <c r="I144" s="75" t="s">
        <v>13</v>
      </c>
    </row>
    <row r="145" spans="2:9" ht="15" thickBot="1">
      <c r="B145" s="69">
        <v>46276</v>
      </c>
      <c r="C145" s="70" t="s">
        <v>623</v>
      </c>
      <c r="D145" s="72"/>
      <c r="E145" s="73"/>
      <c r="F145" s="70">
        <v>26.67</v>
      </c>
      <c r="G145" s="72">
        <v>22654.78</v>
      </c>
      <c r="H145" s="74">
        <f t="shared" ref="H145:H147" si="10">H144+G145</f>
        <v>3023407.8460000032</v>
      </c>
      <c r="I145" s="75" t="s">
        <v>13</v>
      </c>
    </row>
    <row r="146" spans="2:9" ht="15" thickBot="1">
      <c r="B146" s="69">
        <v>46276</v>
      </c>
      <c r="C146" s="70" t="s">
        <v>624</v>
      </c>
      <c r="D146" s="72"/>
      <c r="E146" s="73"/>
      <c r="F146" s="70">
        <v>3.55</v>
      </c>
      <c r="G146" s="72">
        <v>3017.58</v>
      </c>
      <c r="H146" s="74">
        <f t="shared" si="10"/>
        <v>3026425.4260000032</v>
      </c>
      <c r="I146" s="75" t="s">
        <v>13</v>
      </c>
    </row>
    <row r="147" spans="2:9" ht="15" thickBot="1">
      <c r="B147" s="69">
        <v>46276</v>
      </c>
      <c r="C147" s="70" t="s">
        <v>625</v>
      </c>
      <c r="D147" s="72"/>
      <c r="E147" s="73"/>
      <c r="F147" s="70">
        <v>0.86</v>
      </c>
      <c r="G147" s="72">
        <v>730.07</v>
      </c>
      <c r="H147" s="74">
        <f t="shared" si="10"/>
        <v>3027155.4960000031</v>
      </c>
      <c r="I147" s="75" t="s">
        <v>13</v>
      </c>
    </row>
    <row r="148" spans="2:9" ht="15" thickBot="1">
      <c r="B148" s="281">
        <v>46276</v>
      </c>
      <c r="C148" s="363" t="s">
        <v>309</v>
      </c>
      <c r="D148" s="246"/>
      <c r="E148" s="244">
        <v>382.29</v>
      </c>
      <c r="F148" s="150"/>
      <c r="G148" s="150"/>
      <c r="H148" s="153">
        <f>H147-E148</f>
        <v>3026773.206000003</v>
      </c>
      <c r="I148" s="486" t="s">
        <v>25</v>
      </c>
    </row>
    <row r="149" spans="2:9" ht="15" thickBot="1">
      <c r="B149" s="281">
        <v>46276</v>
      </c>
      <c r="C149" s="363" t="s">
        <v>309</v>
      </c>
      <c r="D149" s="246"/>
      <c r="E149" s="244">
        <v>339.82</v>
      </c>
      <c r="F149" s="150"/>
      <c r="G149" s="150"/>
      <c r="H149" s="153">
        <f t="shared" ref="H149:H151" si="11">H148-E149</f>
        <v>3026433.3860000032</v>
      </c>
      <c r="I149" s="486" t="s">
        <v>25</v>
      </c>
    </row>
    <row r="150" spans="2:9" ht="15" thickBot="1">
      <c r="B150" s="281">
        <v>46276</v>
      </c>
      <c r="C150" s="363" t="s">
        <v>309</v>
      </c>
      <c r="D150" s="246"/>
      <c r="E150" s="244">
        <v>45.26</v>
      </c>
      <c r="F150" s="150"/>
      <c r="G150" s="150"/>
      <c r="H150" s="153">
        <f t="shared" si="11"/>
        <v>3026388.1260000034</v>
      </c>
      <c r="I150" s="486" t="s">
        <v>25</v>
      </c>
    </row>
    <row r="151" spans="2:9" ht="15" thickBot="1">
      <c r="B151" s="281">
        <v>46276</v>
      </c>
      <c r="C151" s="363" t="s">
        <v>309</v>
      </c>
      <c r="D151" s="246"/>
      <c r="E151" s="244">
        <v>10.95</v>
      </c>
      <c r="F151" s="150"/>
      <c r="G151" s="150"/>
      <c r="H151" s="153">
        <f t="shared" si="11"/>
        <v>3026377.1760000032</v>
      </c>
      <c r="I151" s="486" t="s">
        <v>25</v>
      </c>
    </row>
    <row r="152" spans="2:9" ht="15" thickBot="1">
      <c r="B152" s="69">
        <v>46276</v>
      </c>
      <c r="C152" s="70" t="s">
        <v>627</v>
      </c>
      <c r="D152" s="72"/>
      <c r="E152" s="73"/>
      <c r="F152" s="70">
        <v>67.709999999999994</v>
      </c>
      <c r="G152" s="72">
        <v>57715.49</v>
      </c>
      <c r="H152" s="74">
        <f>H151+G152</f>
        <v>3084092.6660000035</v>
      </c>
      <c r="I152" s="75" t="s">
        <v>10</v>
      </c>
    </row>
    <row r="153" spans="2:9" ht="15" thickBot="1">
      <c r="B153" s="69">
        <v>46276</v>
      </c>
      <c r="C153" s="378" t="s">
        <v>628</v>
      </c>
      <c r="D153" s="72"/>
      <c r="E153" s="73"/>
      <c r="F153" s="70">
        <v>141.94999999999999</v>
      </c>
      <c r="G153" s="72">
        <v>121003.75</v>
      </c>
      <c r="H153" s="74">
        <f>H152+G153</f>
        <v>3205096.4160000035</v>
      </c>
      <c r="I153" s="75" t="s">
        <v>10</v>
      </c>
    </row>
    <row r="154" spans="2:9" ht="15" thickBot="1">
      <c r="B154" s="69">
        <v>46276</v>
      </c>
      <c r="C154" s="70" t="s">
        <v>629</v>
      </c>
      <c r="D154" s="72"/>
      <c r="E154" s="73"/>
      <c r="F154" s="72">
        <v>568</v>
      </c>
      <c r="G154" s="72">
        <v>484172.85</v>
      </c>
      <c r="H154" s="74">
        <f>H153+G154</f>
        <v>3689269.2660000036</v>
      </c>
      <c r="I154" s="75" t="s">
        <v>10</v>
      </c>
    </row>
    <row r="155" spans="2:9" ht="15" thickBot="1">
      <c r="B155" s="69">
        <v>46276</v>
      </c>
      <c r="C155" s="70" t="s">
        <v>640</v>
      </c>
      <c r="D155" s="72"/>
      <c r="E155" s="73"/>
      <c r="F155" s="72">
        <v>1125.94</v>
      </c>
      <c r="G155" s="72">
        <v>959773.32</v>
      </c>
      <c r="H155" s="74">
        <f>H154+G155</f>
        <v>4649042.5860000039</v>
      </c>
      <c r="I155" s="75"/>
    </row>
    <row r="156" spans="2:9" ht="15" thickBot="1">
      <c r="B156" s="281">
        <v>46276</v>
      </c>
      <c r="C156" s="492" t="s">
        <v>654</v>
      </c>
      <c r="D156" s="246">
        <v>533.89</v>
      </c>
      <c r="E156" s="244">
        <v>455096.38</v>
      </c>
      <c r="F156" s="150"/>
      <c r="G156" s="150"/>
      <c r="H156" s="153">
        <f>H155-E156</f>
        <v>4193946.206000004</v>
      </c>
      <c r="I156" s="489" t="s">
        <v>10</v>
      </c>
    </row>
    <row r="157" spans="2:9" ht="15" thickBot="1">
      <c r="B157" s="281">
        <v>46276</v>
      </c>
      <c r="C157" s="490" t="s">
        <v>31</v>
      </c>
      <c r="D157" s="246">
        <v>1.6</v>
      </c>
      <c r="E157" s="244">
        <v>1365.28</v>
      </c>
      <c r="F157" s="150"/>
      <c r="G157" s="150"/>
      <c r="H157" s="153">
        <f>H156-E157</f>
        <v>4192580.9260000042</v>
      </c>
      <c r="I157" s="489" t="s">
        <v>25</v>
      </c>
    </row>
    <row r="158" spans="2:9" ht="15" thickBot="1">
      <c r="B158" s="69">
        <v>46277</v>
      </c>
      <c r="C158" s="70" t="s">
        <v>630</v>
      </c>
      <c r="D158" s="72"/>
      <c r="E158" s="73"/>
      <c r="F158" s="70">
        <v>50.08</v>
      </c>
      <c r="G158" s="72">
        <v>42691.74</v>
      </c>
      <c r="H158" s="74">
        <f>H157+G158</f>
        <v>4235272.6660000039</v>
      </c>
      <c r="I158" s="75" t="s">
        <v>13</v>
      </c>
    </row>
    <row r="159" spans="2:9" ht="15" thickBot="1">
      <c r="B159" s="69">
        <v>46277</v>
      </c>
      <c r="C159" s="70" t="s">
        <v>606</v>
      </c>
      <c r="D159" s="72"/>
      <c r="E159" s="73"/>
      <c r="F159" s="70">
        <v>29.36</v>
      </c>
      <c r="G159" s="72">
        <v>25022.93</v>
      </c>
      <c r="H159" s="74">
        <f t="shared" ref="H159:H161" si="12">H158+G159</f>
        <v>4260295.5960000036</v>
      </c>
      <c r="I159" s="75" t="s">
        <v>13</v>
      </c>
    </row>
    <row r="160" spans="2:9" ht="15" thickBot="1">
      <c r="B160" s="69">
        <v>46277</v>
      </c>
      <c r="C160" s="70" t="s">
        <v>631</v>
      </c>
      <c r="D160" s="72"/>
      <c r="E160" s="73"/>
      <c r="F160" s="70">
        <v>3.32</v>
      </c>
      <c r="G160" s="72">
        <v>2831.85</v>
      </c>
      <c r="H160" s="74">
        <f t="shared" si="12"/>
        <v>4263127.4460000033</v>
      </c>
      <c r="I160" s="75" t="s">
        <v>13</v>
      </c>
    </row>
    <row r="161" spans="2:9" ht="15" thickBot="1">
      <c r="B161" s="69">
        <v>46277</v>
      </c>
      <c r="C161" s="70" t="s">
        <v>632</v>
      </c>
      <c r="D161" s="72"/>
      <c r="E161" s="73"/>
      <c r="F161" s="70">
        <v>0.86</v>
      </c>
      <c r="G161" s="72">
        <v>734.25</v>
      </c>
      <c r="H161" s="74">
        <f t="shared" si="12"/>
        <v>4263861.6960000033</v>
      </c>
      <c r="I161" s="75" t="s">
        <v>13</v>
      </c>
    </row>
    <row r="162" spans="2:9" ht="15" thickBot="1">
      <c r="B162" s="281">
        <v>46277</v>
      </c>
      <c r="C162" s="363" t="s">
        <v>309</v>
      </c>
      <c r="D162" s="246">
        <v>0.75</v>
      </c>
      <c r="E162" s="244">
        <v>640.37</v>
      </c>
      <c r="F162" s="150"/>
      <c r="G162" s="150"/>
      <c r="H162" s="153">
        <f>H161-E162</f>
        <v>4263221.3260000031</v>
      </c>
      <c r="I162" s="489" t="s">
        <v>25</v>
      </c>
    </row>
    <row r="163" spans="2:9" ht="15" thickBot="1">
      <c r="B163" s="281">
        <v>46277</v>
      </c>
      <c r="C163" s="363" t="s">
        <v>309</v>
      </c>
      <c r="D163" s="246">
        <v>0.44</v>
      </c>
      <c r="E163" s="244">
        <v>375.34</v>
      </c>
      <c r="F163" s="150"/>
      <c r="G163" s="150"/>
      <c r="H163" s="153">
        <f t="shared" ref="H163:H165" si="13">H162-E163</f>
        <v>4262845.9860000033</v>
      </c>
      <c r="I163" s="489" t="s">
        <v>25</v>
      </c>
    </row>
    <row r="164" spans="2:9" ht="15" thickBot="1">
      <c r="B164" s="281">
        <v>46277</v>
      </c>
      <c r="C164" s="363" t="s">
        <v>309</v>
      </c>
      <c r="D164" s="246">
        <v>0.05</v>
      </c>
      <c r="E164" s="244">
        <v>42.47</v>
      </c>
      <c r="F164" s="150"/>
      <c r="G164" s="150"/>
      <c r="H164" s="153">
        <f t="shared" si="13"/>
        <v>4262803.5160000036</v>
      </c>
      <c r="I164" s="489" t="s">
        <v>25</v>
      </c>
    </row>
    <row r="165" spans="2:9" ht="15" thickBot="1">
      <c r="B165" s="281">
        <v>46277</v>
      </c>
      <c r="C165" s="363" t="s">
        <v>309</v>
      </c>
      <c r="D165" s="246">
        <v>0.01</v>
      </c>
      <c r="E165" s="244">
        <v>11.01</v>
      </c>
      <c r="F165" s="150"/>
      <c r="G165" s="150"/>
      <c r="H165" s="153">
        <f t="shared" si="13"/>
        <v>4262792.5060000038</v>
      </c>
      <c r="I165" s="489" t="s">
        <v>25</v>
      </c>
    </row>
    <row r="166" spans="2:9" ht="15" thickBot="1">
      <c r="B166" s="69">
        <v>46278</v>
      </c>
      <c r="C166" s="70" t="s">
        <v>609</v>
      </c>
      <c r="D166" s="72"/>
      <c r="E166" s="73"/>
      <c r="F166" s="70">
        <v>42.54</v>
      </c>
      <c r="G166" s="72">
        <v>36263.49</v>
      </c>
      <c r="H166" s="74">
        <f>H165+G166</f>
        <v>4299055.996000004</v>
      </c>
      <c r="I166" s="75" t="s">
        <v>13</v>
      </c>
    </row>
    <row r="167" spans="2:9" ht="15" thickBot="1">
      <c r="B167" s="69">
        <v>46278</v>
      </c>
      <c r="C167" s="70" t="s">
        <v>633</v>
      </c>
      <c r="D167" s="72"/>
      <c r="E167" s="73"/>
      <c r="F167" s="70">
        <v>37.1</v>
      </c>
      <c r="G167" s="72">
        <v>31624.54</v>
      </c>
      <c r="H167" s="74">
        <f>H166+G167</f>
        <v>4330680.536000004</v>
      </c>
      <c r="I167" s="75" t="s">
        <v>13</v>
      </c>
    </row>
    <row r="168" spans="2:9" ht="15" thickBot="1">
      <c r="B168" s="281">
        <v>46278</v>
      </c>
      <c r="C168" s="363" t="s">
        <v>309</v>
      </c>
      <c r="D168" s="246">
        <v>0.64</v>
      </c>
      <c r="E168" s="244">
        <v>543.95000000000005</v>
      </c>
      <c r="F168" s="150"/>
      <c r="G168" s="150"/>
      <c r="H168" s="153">
        <f>H167-E168</f>
        <v>4330136.5860000039</v>
      </c>
      <c r="I168" s="489" t="s">
        <v>25</v>
      </c>
    </row>
    <row r="169" spans="2:9" ht="15" thickBot="1">
      <c r="B169" s="281">
        <v>46278</v>
      </c>
      <c r="C169" s="363" t="s">
        <v>309</v>
      </c>
      <c r="D169" s="246">
        <v>0.56000000000000005</v>
      </c>
      <c r="E169" s="244">
        <v>474.36</v>
      </c>
      <c r="F169" s="150"/>
      <c r="G169" s="150"/>
      <c r="H169" s="153">
        <f>H168-E169</f>
        <v>4329662.2260000035</v>
      </c>
      <c r="I169" s="489" t="s">
        <v>25</v>
      </c>
    </row>
    <row r="170" spans="2:9" ht="15" thickBot="1">
      <c r="B170" s="69">
        <v>46279</v>
      </c>
      <c r="C170" s="70" t="s">
        <v>623</v>
      </c>
      <c r="D170" s="72"/>
      <c r="E170" s="73"/>
      <c r="F170" s="70">
        <v>6.75</v>
      </c>
      <c r="G170" s="72">
        <v>5749.92</v>
      </c>
      <c r="H170" s="74">
        <f>H169+G170</f>
        <v>4335412.1460000034</v>
      </c>
      <c r="I170" s="75" t="s">
        <v>13</v>
      </c>
    </row>
    <row r="171" spans="2:9" ht="15" thickBot="1">
      <c r="B171" s="281">
        <v>46279</v>
      </c>
      <c r="C171" s="363" t="s">
        <v>309</v>
      </c>
      <c r="D171" s="246">
        <v>0.1</v>
      </c>
      <c r="E171" s="244">
        <v>86.24</v>
      </c>
      <c r="F171" s="150"/>
      <c r="G171" s="150"/>
      <c r="H171" s="153">
        <f>H170-E171</f>
        <v>4335325.9060000032</v>
      </c>
      <c r="I171" s="489" t="s">
        <v>25</v>
      </c>
    </row>
    <row r="172" spans="2:9" ht="15" thickBot="1">
      <c r="B172" s="69">
        <v>46279</v>
      </c>
      <c r="C172" s="70" t="s">
        <v>634</v>
      </c>
      <c r="D172" s="72"/>
      <c r="E172" s="73"/>
      <c r="F172" s="70">
        <v>87.75</v>
      </c>
      <c r="G172" s="72">
        <v>74798.58</v>
      </c>
      <c r="H172" s="74">
        <f>H171+G172</f>
        <v>4410124.4860000033</v>
      </c>
      <c r="I172" s="75" t="s">
        <v>10</v>
      </c>
    </row>
    <row r="173" spans="2:9" ht="15" thickBot="1">
      <c r="B173" s="69">
        <v>46280</v>
      </c>
      <c r="C173" s="70" t="s">
        <v>635</v>
      </c>
      <c r="D173" s="72"/>
      <c r="E173" s="73"/>
      <c r="F173" s="70">
        <v>58.83</v>
      </c>
      <c r="G173" s="72">
        <v>50147.66</v>
      </c>
      <c r="H173" s="74">
        <f t="shared" ref="H173:H175" si="14">H172+G173</f>
        <v>4460272.1460000034</v>
      </c>
      <c r="I173" s="75" t="s">
        <v>13</v>
      </c>
    </row>
    <row r="174" spans="2:9" ht="15" thickBot="1">
      <c r="B174" s="69">
        <v>46280</v>
      </c>
      <c r="C174" s="70" t="s">
        <v>631</v>
      </c>
      <c r="D174" s="72"/>
      <c r="E174" s="73"/>
      <c r="F174" s="70">
        <v>44.01</v>
      </c>
      <c r="G174" s="72">
        <v>37511.360000000001</v>
      </c>
      <c r="H174" s="74">
        <f t="shared" si="14"/>
        <v>4497783.5060000038</v>
      </c>
      <c r="I174" s="75" t="s">
        <v>13</v>
      </c>
    </row>
    <row r="175" spans="2:9" ht="15" thickBot="1">
      <c r="B175" s="69">
        <v>46280</v>
      </c>
      <c r="C175" s="70" t="s">
        <v>636</v>
      </c>
      <c r="D175" s="72"/>
      <c r="E175" s="73"/>
      <c r="F175" s="70">
        <v>9.6199999999999992</v>
      </c>
      <c r="G175" s="72">
        <v>8199.92</v>
      </c>
      <c r="H175" s="74">
        <f t="shared" si="14"/>
        <v>4505983.4260000037</v>
      </c>
      <c r="I175" s="75" t="s">
        <v>13</v>
      </c>
    </row>
    <row r="176" spans="2:9" ht="15" thickBot="1">
      <c r="B176" s="281">
        <v>46280</v>
      </c>
      <c r="C176" s="363" t="s">
        <v>309</v>
      </c>
      <c r="D176" s="246">
        <v>0.88</v>
      </c>
      <c r="E176" s="244">
        <v>752.21</v>
      </c>
      <c r="F176" s="150"/>
      <c r="G176" s="150"/>
      <c r="H176" s="153">
        <f>H175-E176</f>
        <v>4505231.2160000037</v>
      </c>
      <c r="I176" s="489" t="s">
        <v>25</v>
      </c>
    </row>
    <row r="177" spans="2:9" ht="15" thickBot="1">
      <c r="B177" s="281">
        <v>46280</v>
      </c>
      <c r="C177" s="363" t="s">
        <v>309</v>
      </c>
      <c r="D177" s="246">
        <v>0.66</v>
      </c>
      <c r="E177" s="244">
        <v>562.66999999999996</v>
      </c>
      <c r="F177" s="150"/>
      <c r="G177" s="150"/>
      <c r="H177" s="153">
        <f t="shared" ref="H177:H179" si="15">H176-E177</f>
        <v>4504668.5460000038</v>
      </c>
      <c r="I177" s="489" t="s">
        <v>25</v>
      </c>
    </row>
    <row r="178" spans="2:9" ht="15" thickBot="1">
      <c r="B178" s="281">
        <v>46280</v>
      </c>
      <c r="C178" s="363" t="s">
        <v>309</v>
      </c>
      <c r="D178" s="246">
        <v>0.14000000000000001</v>
      </c>
      <c r="E178" s="244">
        <v>122.99</v>
      </c>
      <c r="F178" s="150"/>
      <c r="G178" s="150"/>
      <c r="H178" s="153">
        <f t="shared" si="15"/>
        <v>4504545.5560000036</v>
      </c>
      <c r="I178" s="489" t="s">
        <v>25</v>
      </c>
    </row>
    <row r="179" spans="2:9" ht="15" thickBot="1">
      <c r="B179" s="281">
        <v>46280</v>
      </c>
      <c r="C179" s="490" t="s">
        <v>637</v>
      </c>
      <c r="D179" s="246">
        <v>14.02</v>
      </c>
      <c r="E179" s="244">
        <v>11950.95</v>
      </c>
      <c r="F179" s="150"/>
      <c r="G179" s="150"/>
      <c r="H179" s="153">
        <f t="shared" si="15"/>
        <v>4492594.6060000034</v>
      </c>
      <c r="I179" s="489" t="s">
        <v>13</v>
      </c>
    </row>
    <row r="180" spans="2:9" ht="15" thickBot="1">
      <c r="B180" s="69">
        <v>46280</v>
      </c>
      <c r="C180" s="70" t="s">
        <v>638</v>
      </c>
      <c r="D180" s="72"/>
      <c r="E180" s="73"/>
      <c r="F180" s="381">
        <v>7223.99</v>
      </c>
      <c r="G180" s="72">
        <v>6157847.6799999997</v>
      </c>
      <c r="H180" s="74">
        <f>H179+G180</f>
        <v>10650442.286000002</v>
      </c>
      <c r="I180" s="75" t="s">
        <v>10</v>
      </c>
    </row>
    <row r="181" spans="2:9" ht="15" thickBot="1">
      <c r="B181" s="281">
        <v>46280</v>
      </c>
      <c r="C181" s="490" t="s">
        <v>639</v>
      </c>
      <c r="D181" s="246">
        <v>28.65</v>
      </c>
      <c r="E181" s="244">
        <v>24424</v>
      </c>
      <c r="F181" s="150"/>
      <c r="G181" s="150"/>
      <c r="H181" s="153">
        <f>H180-E181</f>
        <v>10626018.286000002</v>
      </c>
      <c r="I181" s="489" t="s">
        <v>13</v>
      </c>
    </row>
    <row r="182" spans="2:9" ht="15" thickBot="1">
      <c r="B182" s="281">
        <v>46280</v>
      </c>
      <c r="C182" s="491" t="s">
        <v>641</v>
      </c>
      <c r="D182" s="246">
        <v>3780.15</v>
      </c>
      <c r="E182" s="244">
        <v>3222261.73</v>
      </c>
      <c r="F182" s="150"/>
      <c r="G182" s="150"/>
      <c r="H182" s="153">
        <f>H181-E182</f>
        <v>7403756.5560000017</v>
      </c>
      <c r="I182" s="489" t="s">
        <v>10</v>
      </c>
    </row>
    <row r="183" spans="2:9" ht="15" thickBot="1">
      <c r="B183" s="281">
        <v>46280</v>
      </c>
      <c r="C183" s="490" t="s">
        <v>31</v>
      </c>
      <c r="D183" s="246">
        <v>11.34</v>
      </c>
      <c r="E183" s="244">
        <v>9666.7800000000007</v>
      </c>
      <c r="F183" s="150"/>
      <c r="G183" s="151"/>
      <c r="H183" s="153">
        <f>H182-E183</f>
        <v>7394089.7760000015</v>
      </c>
      <c r="I183" s="489" t="s">
        <v>25</v>
      </c>
    </row>
    <row r="184" spans="2:9" ht="15" thickBot="1">
      <c r="B184" s="69">
        <v>46281</v>
      </c>
      <c r="C184" s="70" t="s">
        <v>630</v>
      </c>
      <c r="D184" s="72"/>
      <c r="E184" s="73"/>
      <c r="F184" s="70">
        <v>48.35</v>
      </c>
      <c r="G184" s="72">
        <v>41210.42</v>
      </c>
      <c r="H184" s="74">
        <f>H183+G184</f>
        <v>7435300.1960000014</v>
      </c>
      <c r="I184" s="75" t="s">
        <v>13</v>
      </c>
    </row>
    <row r="185" spans="2:9" ht="15" thickBot="1">
      <c r="B185" s="69">
        <v>46281</v>
      </c>
      <c r="C185" s="70" t="s">
        <v>642</v>
      </c>
      <c r="D185" s="72"/>
      <c r="E185" s="73"/>
      <c r="F185" s="70">
        <v>23.61</v>
      </c>
      <c r="G185" s="72">
        <v>20124.71</v>
      </c>
      <c r="H185" s="74">
        <f t="shared" ref="H185:H188" si="16">H184+G185</f>
        <v>7455424.9060000014</v>
      </c>
      <c r="I185" s="75" t="s">
        <v>13</v>
      </c>
    </row>
    <row r="186" spans="2:9" ht="15" thickBot="1">
      <c r="B186" s="69">
        <v>46281</v>
      </c>
      <c r="C186" s="70" t="s">
        <v>643</v>
      </c>
      <c r="D186" s="72"/>
      <c r="E186" s="73"/>
      <c r="F186" s="70">
        <v>4.47</v>
      </c>
      <c r="G186" s="72">
        <v>3813.15</v>
      </c>
      <c r="H186" s="74">
        <f t="shared" si="16"/>
        <v>7459238.0560000017</v>
      </c>
      <c r="I186" s="75" t="s">
        <v>13</v>
      </c>
    </row>
    <row r="187" spans="2:9" ht="15" thickBot="1">
      <c r="B187" s="69">
        <v>46281</v>
      </c>
      <c r="C187" s="70" t="s">
        <v>644</v>
      </c>
      <c r="D187" s="72"/>
      <c r="E187" s="73"/>
      <c r="F187" s="70">
        <v>3.37</v>
      </c>
      <c r="G187" s="72">
        <v>2874.96</v>
      </c>
      <c r="H187" s="74">
        <f t="shared" si="16"/>
        <v>7462113.0160000017</v>
      </c>
      <c r="I187" s="75" t="s">
        <v>13</v>
      </c>
    </row>
    <row r="188" spans="2:9" ht="15" thickBot="1">
      <c r="B188" s="69">
        <v>46281</v>
      </c>
      <c r="C188" s="70" t="s">
        <v>645</v>
      </c>
      <c r="D188" s="72"/>
      <c r="E188" s="73"/>
      <c r="F188" s="70">
        <v>1.8</v>
      </c>
      <c r="G188" s="72">
        <v>1535.17</v>
      </c>
      <c r="H188" s="74">
        <f t="shared" si="16"/>
        <v>7463648.1860000016</v>
      </c>
      <c r="I188" s="75" t="s">
        <v>13</v>
      </c>
    </row>
    <row r="189" spans="2:9" ht="15" thickBot="1">
      <c r="B189" s="281">
        <v>46281</v>
      </c>
      <c r="C189" s="363" t="s">
        <v>309</v>
      </c>
      <c r="D189" s="246">
        <v>0.73</v>
      </c>
      <c r="E189" s="244">
        <v>618.15</v>
      </c>
      <c r="F189" s="150"/>
      <c r="G189" s="150"/>
      <c r="H189" s="153">
        <f>H188-E189</f>
        <v>7463030.0360000012</v>
      </c>
      <c r="I189" s="489" t="s">
        <v>25</v>
      </c>
    </row>
    <row r="190" spans="2:9" ht="15" thickBot="1">
      <c r="B190" s="281">
        <v>46281</v>
      </c>
      <c r="C190" s="363" t="s">
        <v>309</v>
      </c>
      <c r="D190" s="246">
        <v>0.35</v>
      </c>
      <c r="E190" s="244">
        <v>301.87</v>
      </c>
      <c r="F190" s="150"/>
      <c r="G190" s="150"/>
      <c r="H190" s="153">
        <f t="shared" ref="H190:H202" si="17">H189-E190</f>
        <v>7462728.1660000011</v>
      </c>
      <c r="I190" s="489" t="s">
        <v>25</v>
      </c>
    </row>
    <row r="191" spans="2:9" ht="15" thickBot="1">
      <c r="B191" s="281">
        <v>46281</v>
      </c>
      <c r="C191" s="363" t="s">
        <v>309</v>
      </c>
      <c r="D191" s="246">
        <v>7.0000000000000007E-2</v>
      </c>
      <c r="E191" s="244">
        <v>57.19</v>
      </c>
      <c r="F191" s="150"/>
      <c r="G191" s="150"/>
      <c r="H191" s="153">
        <f t="shared" si="17"/>
        <v>7462670.9760000007</v>
      </c>
      <c r="I191" s="489" t="s">
        <v>25</v>
      </c>
    </row>
    <row r="192" spans="2:9" ht="15" thickBot="1">
      <c r="B192" s="281">
        <v>46281</v>
      </c>
      <c r="C192" s="363" t="s">
        <v>309</v>
      </c>
      <c r="D192" s="246">
        <v>0.05</v>
      </c>
      <c r="E192" s="244">
        <v>43.12</v>
      </c>
      <c r="F192" s="150"/>
      <c r="G192" s="150"/>
      <c r="H192" s="153">
        <f t="shared" si="17"/>
        <v>7462627.8560000006</v>
      </c>
      <c r="I192" s="489" t="s">
        <v>25</v>
      </c>
    </row>
    <row r="193" spans="2:9" ht="15" thickBot="1">
      <c r="B193" s="281">
        <v>46281</v>
      </c>
      <c r="C193" s="363" t="s">
        <v>309</v>
      </c>
      <c r="D193" s="246">
        <v>0.03</v>
      </c>
      <c r="E193" s="244">
        <v>23.02</v>
      </c>
      <c r="F193" s="150"/>
      <c r="G193" s="150"/>
      <c r="H193" s="153">
        <f t="shared" si="17"/>
        <v>7462604.8360000011</v>
      </c>
      <c r="I193" s="489" t="s">
        <v>25</v>
      </c>
    </row>
    <row r="194" spans="2:9" ht="29.5" thickBot="1">
      <c r="B194" s="281">
        <v>46281</v>
      </c>
      <c r="C194" s="491" t="s">
        <v>646</v>
      </c>
      <c r="D194" s="246">
        <v>134.06</v>
      </c>
      <c r="E194" s="244">
        <v>114278.85</v>
      </c>
      <c r="F194" s="150"/>
      <c r="G194" s="150"/>
      <c r="H194" s="153">
        <f t="shared" si="17"/>
        <v>7348325.9860000014</v>
      </c>
      <c r="I194" s="489" t="s">
        <v>10</v>
      </c>
    </row>
    <row r="195" spans="2:9" ht="15" thickBot="1">
      <c r="B195" s="281">
        <v>46281</v>
      </c>
      <c r="C195" s="490" t="s">
        <v>31</v>
      </c>
      <c r="D195" s="246">
        <v>0.4</v>
      </c>
      <c r="E195" s="244">
        <v>342.83</v>
      </c>
      <c r="F195" s="150"/>
      <c r="G195" s="150"/>
      <c r="H195" s="153">
        <f t="shared" si="17"/>
        <v>7347983.1560000014</v>
      </c>
      <c r="I195" s="489" t="s">
        <v>25</v>
      </c>
    </row>
    <row r="196" spans="2:9" ht="15" thickBot="1">
      <c r="B196" s="281">
        <v>46281</v>
      </c>
      <c r="C196" s="490" t="s">
        <v>647</v>
      </c>
      <c r="D196" s="246">
        <v>14.9</v>
      </c>
      <c r="E196" s="244">
        <v>12697.65</v>
      </c>
      <c r="F196" s="150"/>
      <c r="G196" s="150"/>
      <c r="H196" s="153">
        <f t="shared" si="17"/>
        <v>7335285.506000001</v>
      </c>
      <c r="I196" s="489" t="s">
        <v>10</v>
      </c>
    </row>
    <row r="197" spans="2:9" ht="15" thickBot="1">
      <c r="B197" s="281">
        <v>46281</v>
      </c>
      <c r="C197" s="490" t="s">
        <v>31</v>
      </c>
      <c r="D197" s="246">
        <v>0.04</v>
      </c>
      <c r="E197" s="244">
        <v>38.090000000000003</v>
      </c>
      <c r="F197" s="150"/>
      <c r="G197" s="150"/>
      <c r="H197" s="153">
        <f t="shared" si="17"/>
        <v>7335247.4160000011</v>
      </c>
      <c r="I197" s="489" t="s">
        <v>25</v>
      </c>
    </row>
    <row r="198" spans="2:9" ht="29.5" thickBot="1">
      <c r="B198" s="281">
        <v>46281</v>
      </c>
      <c r="C198" s="491" t="s">
        <v>648</v>
      </c>
      <c r="D198" s="246">
        <v>57.6</v>
      </c>
      <c r="E198" s="244">
        <v>49097.58</v>
      </c>
      <c r="F198" s="150"/>
      <c r="G198" s="150"/>
      <c r="H198" s="153">
        <f t="shared" si="17"/>
        <v>7286149.8360000011</v>
      </c>
      <c r="I198" s="489" t="s">
        <v>10</v>
      </c>
    </row>
    <row r="199" spans="2:9" ht="15" thickBot="1">
      <c r="B199" s="281">
        <v>46250</v>
      </c>
      <c r="C199" s="490" t="s">
        <v>31</v>
      </c>
      <c r="D199" s="246">
        <v>0.17</v>
      </c>
      <c r="E199" s="244">
        <v>147.29</v>
      </c>
      <c r="F199" s="150"/>
      <c r="G199" s="150"/>
      <c r="H199" s="153">
        <f t="shared" si="17"/>
        <v>7286002.546000001</v>
      </c>
      <c r="I199" s="489" t="s">
        <v>25</v>
      </c>
    </row>
    <row r="200" spans="2:9" ht="15" thickBot="1">
      <c r="B200" s="281">
        <v>46250</v>
      </c>
      <c r="C200" s="490" t="s">
        <v>649</v>
      </c>
      <c r="D200" s="246">
        <v>19.809999999999999</v>
      </c>
      <c r="E200" s="244">
        <v>16884.63</v>
      </c>
      <c r="F200" s="150"/>
      <c r="G200" s="150"/>
      <c r="H200" s="153">
        <f t="shared" si="17"/>
        <v>7269117.9160000011</v>
      </c>
      <c r="I200" s="489" t="s">
        <v>10</v>
      </c>
    </row>
    <row r="201" spans="2:9" ht="29.5" thickBot="1">
      <c r="B201" s="281">
        <v>46250</v>
      </c>
      <c r="C201" s="491" t="s">
        <v>650</v>
      </c>
      <c r="D201" s="246">
        <v>59.55</v>
      </c>
      <c r="E201" s="244">
        <v>50790.6</v>
      </c>
      <c r="F201" s="150"/>
      <c r="G201" s="150"/>
      <c r="H201" s="153">
        <f t="shared" si="17"/>
        <v>7218327.3160000015</v>
      </c>
      <c r="I201" s="489" t="s">
        <v>10</v>
      </c>
    </row>
    <row r="202" spans="2:9" ht="15" thickBot="1">
      <c r="B202" s="281">
        <v>46250</v>
      </c>
      <c r="C202" s="492" t="s">
        <v>651</v>
      </c>
      <c r="D202" s="246">
        <v>46.43</v>
      </c>
      <c r="E202" s="244">
        <v>45341.15</v>
      </c>
      <c r="F202" s="150"/>
      <c r="G202" s="150"/>
      <c r="H202" s="153">
        <f t="shared" si="17"/>
        <v>7172986.1660000011</v>
      </c>
      <c r="I202" s="493" t="s">
        <v>10</v>
      </c>
    </row>
    <row r="203" spans="2:9" ht="15" thickBot="1">
      <c r="B203" s="281">
        <v>46250</v>
      </c>
      <c r="C203" s="492" t="s">
        <v>31</v>
      </c>
      <c r="D203" s="246">
        <v>0.14299999999999999</v>
      </c>
      <c r="E203" s="244">
        <v>136.02000000000001</v>
      </c>
      <c r="F203" s="150"/>
      <c r="G203" s="150"/>
      <c r="H203" s="153">
        <f>H202-E203</f>
        <v>7172850.1460000016</v>
      </c>
      <c r="I203" s="493" t="s">
        <v>25</v>
      </c>
    </row>
    <row r="204" spans="2:9" ht="15" thickBot="1">
      <c r="B204" s="69">
        <v>46250</v>
      </c>
      <c r="C204" s="70" t="s">
        <v>652</v>
      </c>
      <c r="D204" s="72"/>
      <c r="E204" s="73"/>
      <c r="F204" s="70">
        <v>907.29</v>
      </c>
      <c r="G204" s="72">
        <v>886008.19</v>
      </c>
      <c r="H204" s="74">
        <f>H203+G204</f>
        <v>8058858.3360000011</v>
      </c>
      <c r="I204" s="75" t="s">
        <v>10</v>
      </c>
    </row>
    <row r="205" spans="2:9" ht="29.5" thickBot="1">
      <c r="B205" s="281">
        <v>46250</v>
      </c>
      <c r="C205" s="494" t="s">
        <v>653</v>
      </c>
      <c r="D205" s="246">
        <v>110.07</v>
      </c>
      <c r="E205" s="244">
        <v>107489.8</v>
      </c>
      <c r="F205" s="150"/>
      <c r="G205" s="150"/>
      <c r="H205" s="153">
        <f>H204-E205</f>
        <v>7951368.5360000012</v>
      </c>
      <c r="I205" s="493" t="s">
        <v>10</v>
      </c>
    </row>
    <row r="206" spans="2:9" ht="15" thickBot="1">
      <c r="B206" s="281">
        <v>46250</v>
      </c>
      <c r="C206" s="492" t="s">
        <v>31</v>
      </c>
      <c r="D206" s="246">
        <v>0.33</v>
      </c>
      <c r="E206" s="244">
        <v>322.45999999999998</v>
      </c>
      <c r="F206" s="150"/>
      <c r="G206" s="150"/>
      <c r="H206" s="153">
        <f>H205-E206</f>
        <v>7951046.0760000013</v>
      </c>
      <c r="I206" s="493" t="s">
        <v>25</v>
      </c>
    </row>
    <row r="207" spans="2:9" ht="15" thickBot="1">
      <c r="B207" s="69">
        <v>46250</v>
      </c>
      <c r="C207" s="70" t="s">
        <v>655</v>
      </c>
      <c r="D207" s="72"/>
      <c r="E207" s="73"/>
      <c r="F207" s="70">
        <v>127.58</v>
      </c>
      <c r="G207" s="72">
        <v>124590.55</v>
      </c>
      <c r="H207" s="74">
        <f>H206+G207</f>
        <v>8075636.6260000011</v>
      </c>
      <c r="I207" s="75" t="s">
        <v>10</v>
      </c>
    </row>
    <row r="208" spans="2:9" ht="15" thickBot="1">
      <c r="B208" s="69">
        <v>46282</v>
      </c>
      <c r="C208" s="70" t="s">
        <v>633</v>
      </c>
      <c r="D208" s="72"/>
      <c r="E208" s="73"/>
      <c r="F208" s="70">
        <v>23.3</v>
      </c>
      <c r="G208" s="72">
        <v>22754.32</v>
      </c>
      <c r="H208" s="74">
        <f t="shared" ref="H208:H210" si="18">H207+G208</f>
        <v>8098390.9460000014</v>
      </c>
      <c r="I208" s="75" t="s">
        <v>13</v>
      </c>
    </row>
    <row r="209" spans="2:9" ht="15" thickBot="1">
      <c r="B209" s="69">
        <v>46282</v>
      </c>
      <c r="C209" s="70" t="s">
        <v>656</v>
      </c>
      <c r="D209" s="72"/>
      <c r="E209" s="73"/>
      <c r="F209" s="70">
        <v>20.59</v>
      </c>
      <c r="G209" s="72">
        <v>20110.37</v>
      </c>
      <c r="H209" s="74">
        <f t="shared" si="18"/>
        <v>8118501.3160000015</v>
      </c>
      <c r="I209" s="75" t="s">
        <v>13</v>
      </c>
    </row>
    <row r="210" spans="2:9" ht="15" thickBot="1">
      <c r="B210" s="69">
        <v>46282</v>
      </c>
      <c r="C210" s="70" t="s">
        <v>657</v>
      </c>
      <c r="D210" s="72"/>
      <c r="E210" s="73"/>
      <c r="F210" s="70">
        <v>3.16</v>
      </c>
      <c r="G210" s="72">
        <v>3086.04</v>
      </c>
      <c r="H210" s="74">
        <f t="shared" si="18"/>
        <v>8121587.3560000015</v>
      </c>
      <c r="I210" s="75" t="s">
        <v>13</v>
      </c>
    </row>
    <row r="211" spans="2:9" ht="15" thickBot="1">
      <c r="B211" s="281">
        <v>46282</v>
      </c>
      <c r="C211" s="363" t="s">
        <v>309</v>
      </c>
      <c r="D211" s="246">
        <v>0.35</v>
      </c>
      <c r="E211" s="244">
        <v>341.31</v>
      </c>
      <c r="F211" s="150"/>
      <c r="G211" s="150"/>
      <c r="H211" s="153">
        <f>H210-E211</f>
        <v>8121246.046000002</v>
      </c>
      <c r="I211" s="493" t="s">
        <v>25</v>
      </c>
    </row>
    <row r="212" spans="2:9" ht="15" thickBot="1">
      <c r="B212" s="281">
        <v>46282</v>
      </c>
      <c r="C212" s="363" t="s">
        <v>309</v>
      </c>
      <c r="D212" s="246">
        <v>0.31</v>
      </c>
      <c r="E212" s="244">
        <v>301.64999999999998</v>
      </c>
      <c r="F212" s="150"/>
      <c r="G212" s="150"/>
      <c r="H212" s="153">
        <f t="shared" ref="H212:H218" si="19">H211-E212</f>
        <v>8120944.3960000016</v>
      </c>
      <c r="I212" s="493" t="s">
        <v>25</v>
      </c>
    </row>
    <row r="213" spans="2:9" ht="15" thickBot="1">
      <c r="B213" s="281">
        <v>46282</v>
      </c>
      <c r="C213" s="363" t="s">
        <v>309</v>
      </c>
      <c r="D213" s="246">
        <v>0.05</v>
      </c>
      <c r="E213" s="244">
        <v>46.29</v>
      </c>
      <c r="F213" s="150"/>
      <c r="G213" s="150"/>
      <c r="H213" s="153">
        <f t="shared" si="19"/>
        <v>8120898.1060000015</v>
      </c>
      <c r="I213" s="493" t="s">
        <v>25</v>
      </c>
    </row>
    <row r="214" spans="2:9" ht="29.5" thickBot="1">
      <c r="B214" s="281">
        <v>46282</v>
      </c>
      <c r="C214" s="494" t="s">
        <v>658</v>
      </c>
      <c r="D214" s="246">
        <v>1040.21</v>
      </c>
      <c r="E214" s="244">
        <v>1015815.72</v>
      </c>
      <c r="F214" s="150"/>
      <c r="G214" s="150"/>
      <c r="H214" s="153">
        <f t="shared" si="19"/>
        <v>7105082.3860000018</v>
      </c>
      <c r="I214" s="493" t="s">
        <v>10</v>
      </c>
    </row>
    <row r="215" spans="2:9" ht="29.5" thickBot="1">
      <c r="B215" s="281">
        <v>46282</v>
      </c>
      <c r="C215" s="494" t="s">
        <v>659</v>
      </c>
      <c r="D215" s="246">
        <v>166.43</v>
      </c>
      <c r="E215" s="244">
        <v>162530.51999999999</v>
      </c>
      <c r="F215" s="150"/>
      <c r="G215" s="150"/>
      <c r="H215" s="153">
        <f t="shared" si="19"/>
        <v>6942551.8660000023</v>
      </c>
      <c r="I215" s="493" t="s">
        <v>10</v>
      </c>
    </row>
    <row r="216" spans="2:9" ht="15" thickBot="1">
      <c r="B216" s="281">
        <v>46282</v>
      </c>
      <c r="C216" s="492" t="s">
        <v>660</v>
      </c>
      <c r="D216" s="246">
        <v>58.61</v>
      </c>
      <c r="E216" s="244">
        <v>57236.72</v>
      </c>
      <c r="F216" s="150"/>
      <c r="G216" s="150"/>
      <c r="H216" s="153">
        <f t="shared" si="19"/>
        <v>6885315.1460000025</v>
      </c>
      <c r="I216" s="493" t="s">
        <v>13</v>
      </c>
    </row>
    <row r="217" spans="2:9" ht="15" thickBot="1">
      <c r="B217" s="281">
        <v>46282</v>
      </c>
      <c r="C217" s="494" t="s">
        <v>662</v>
      </c>
      <c r="D217" s="246">
        <v>60.75</v>
      </c>
      <c r="E217" s="244">
        <v>59320.78</v>
      </c>
      <c r="F217" s="150"/>
      <c r="G217" s="150"/>
      <c r="H217" s="153">
        <f t="shared" si="19"/>
        <v>6825994.3660000023</v>
      </c>
      <c r="I217" s="493" t="s">
        <v>13</v>
      </c>
    </row>
    <row r="218" spans="2:9" ht="15" thickBot="1">
      <c r="B218" s="281">
        <v>46282</v>
      </c>
      <c r="C218" s="492" t="s">
        <v>661</v>
      </c>
      <c r="D218" s="246">
        <v>1.79</v>
      </c>
      <c r="E218" s="244">
        <v>1750</v>
      </c>
      <c r="F218" s="150"/>
      <c r="G218" s="150"/>
      <c r="H218" s="153">
        <f t="shared" si="19"/>
        <v>6824244.3660000023</v>
      </c>
      <c r="I218" s="493" t="s">
        <v>13</v>
      </c>
    </row>
    <row r="219" spans="2:9" ht="29.5" thickBot="1">
      <c r="B219" s="69">
        <v>46282</v>
      </c>
      <c r="C219" s="378" t="s">
        <v>663</v>
      </c>
      <c r="D219" s="72"/>
      <c r="E219" s="73"/>
      <c r="F219" s="70">
        <v>117.02</v>
      </c>
      <c r="G219" s="72">
        <v>114278.85</v>
      </c>
      <c r="H219" s="74">
        <f>H218+G219</f>
        <v>6938523.2160000019</v>
      </c>
      <c r="I219" s="75" t="s">
        <v>25</v>
      </c>
    </row>
    <row r="220" spans="2:9" ht="15" thickBot="1">
      <c r="B220" s="69">
        <v>46282</v>
      </c>
      <c r="C220" s="70" t="s">
        <v>664</v>
      </c>
      <c r="D220" s="72"/>
      <c r="E220" s="73"/>
      <c r="F220" s="70">
        <v>0.35</v>
      </c>
      <c r="G220" s="70">
        <v>342.84</v>
      </c>
      <c r="H220" s="74">
        <f>H219+G220</f>
        <v>6938866.0560000017</v>
      </c>
      <c r="I220" s="75" t="s">
        <v>25</v>
      </c>
    </row>
    <row r="221" spans="2:9" ht="29.5" thickBot="1">
      <c r="B221" s="281">
        <v>46282</v>
      </c>
      <c r="C221" s="494" t="s">
        <v>665</v>
      </c>
      <c r="D221" s="246">
        <v>24.28</v>
      </c>
      <c r="E221" s="244">
        <v>23713.51</v>
      </c>
      <c r="F221" s="150"/>
      <c r="G221" s="150"/>
      <c r="H221" s="153">
        <f t="shared" ref="H221:H229" si="20">H220-E221</f>
        <v>6915152.546000002</v>
      </c>
      <c r="I221" s="493" t="s">
        <v>10</v>
      </c>
    </row>
    <row r="222" spans="2:9" ht="29.5" thickBot="1">
      <c r="B222" s="281">
        <v>46282</v>
      </c>
      <c r="C222" s="494" t="s">
        <v>666</v>
      </c>
      <c r="D222" s="246">
        <v>25.43</v>
      </c>
      <c r="E222" s="244">
        <v>24837.200000000001</v>
      </c>
      <c r="F222" s="150"/>
      <c r="G222" s="150"/>
      <c r="H222" s="153">
        <f t="shared" si="20"/>
        <v>6890315.3460000018</v>
      </c>
      <c r="I222" s="493" t="s">
        <v>10</v>
      </c>
    </row>
    <row r="223" spans="2:9" ht="15" thickBot="1">
      <c r="B223" s="281">
        <v>46282</v>
      </c>
      <c r="C223" s="492" t="s">
        <v>31</v>
      </c>
      <c r="D223" s="246">
        <v>0.08</v>
      </c>
      <c r="E223" s="244">
        <v>74.510000000000005</v>
      </c>
      <c r="F223" s="150"/>
      <c r="G223" s="150"/>
      <c r="H223" s="153">
        <f t="shared" si="20"/>
        <v>6890240.836000002</v>
      </c>
      <c r="I223" s="493" t="s">
        <v>25</v>
      </c>
    </row>
    <row r="224" spans="2:9" ht="29.5" thickBot="1">
      <c r="B224" s="281">
        <v>46282</v>
      </c>
      <c r="C224" s="494" t="s">
        <v>667</v>
      </c>
      <c r="D224" s="246">
        <v>23.42</v>
      </c>
      <c r="E224" s="244">
        <v>22871.31</v>
      </c>
      <c r="F224" s="150"/>
      <c r="G224" s="150"/>
      <c r="H224" s="153">
        <f t="shared" si="20"/>
        <v>6867369.5260000024</v>
      </c>
      <c r="I224" s="493" t="s">
        <v>10</v>
      </c>
    </row>
    <row r="225" spans="1:9" ht="15" thickBot="1">
      <c r="B225" s="281">
        <v>46282</v>
      </c>
      <c r="C225" s="492" t="s">
        <v>31</v>
      </c>
      <c r="D225" s="246">
        <v>7.0000000000000007E-2</v>
      </c>
      <c r="E225" s="244">
        <v>68.61</v>
      </c>
      <c r="F225" s="150"/>
      <c r="G225" s="150"/>
      <c r="H225" s="153">
        <f t="shared" si="20"/>
        <v>6867300.9160000021</v>
      </c>
      <c r="I225" s="493" t="s">
        <v>25</v>
      </c>
    </row>
    <row r="226" spans="1:9" ht="29.5" thickBot="1">
      <c r="B226" s="281">
        <v>46282</v>
      </c>
      <c r="C226" s="494" t="s">
        <v>668</v>
      </c>
      <c r="D226" s="246">
        <v>23.56</v>
      </c>
      <c r="E226" s="244">
        <v>23011</v>
      </c>
      <c r="F226" s="150"/>
      <c r="G226" s="150"/>
      <c r="H226" s="153">
        <f t="shared" si="20"/>
        <v>6844289.9160000021</v>
      </c>
      <c r="I226" s="493" t="s">
        <v>10</v>
      </c>
    </row>
    <row r="227" spans="1:9" ht="15" thickBot="1">
      <c r="B227" s="281">
        <v>46282</v>
      </c>
      <c r="C227" s="492" t="s">
        <v>31</v>
      </c>
      <c r="D227" s="246">
        <v>7.0000000000000007E-2</v>
      </c>
      <c r="E227" s="244">
        <v>69.03</v>
      </c>
      <c r="F227" s="150"/>
      <c r="G227" s="150"/>
      <c r="H227" s="153">
        <f t="shared" si="20"/>
        <v>6844220.8860000018</v>
      </c>
      <c r="I227" s="493" t="s">
        <v>25</v>
      </c>
    </row>
    <row r="228" spans="1:9" ht="15" thickBot="1">
      <c r="A228" t="s">
        <v>357</v>
      </c>
      <c r="B228" s="281">
        <v>46282</v>
      </c>
      <c r="C228" s="492" t="s">
        <v>669</v>
      </c>
      <c r="D228" s="246">
        <v>147.53</v>
      </c>
      <c r="E228" s="244">
        <v>144064.79999999999</v>
      </c>
      <c r="F228" s="150"/>
      <c r="G228" s="150"/>
      <c r="H228" s="153">
        <f t="shared" si="20"/>
        <v>6700156.086000002</v>
      </c>
      <c r="I228" s="493" t="s">
        <v>10</v>
      </c>
    </row>
    <row r="229" spans="1:9" ht="15" thickBot="1">
      <c r="B229" s="281">
        <v>46282</v>
      </c>
      <c r="C229" s="492" t="s">
        <v>31</v>
      </c>
      <c r="D229" s="246">
        <v>0.44</v>
      </c>
      <c r="E229" s="244">
        <v>432.19</v>
      </c>
      <c r="F229" s="150"/>
      <c r="G229" s="150"/>
      <c r="H229" s="153">
        <f t="shared" si="20"/>
        <v>6699723.8960000016</v>
      </c>
      <c r="I229" s="493" t="s">
        <v>25</v>
      </c>
    </row>
    <row r="230" spans="1:9" ht="15" thickBot="1">
      <c r="B230" s="69">
        <v>46283</v>
      </c>
      <c r="C230" s="70" t="s">
        <v>670</v>
      </c>
      <c r="D230" s="72"/>
      <c r="E230" s="73"/>
      <c r="F230" s="70">
        <v>29.43</v>
      </c>
      <c r="G230" s="72">
        <v>28743.8</v>
      </c>
      <c r="H230" s="74">
        <f>H229+G230</f>
        <v>6728467.6960000014</v>
      </c>
      <c r="I230" s="75" t="s">
        <v>13</v>
      </c>
    </row>
    <row r="231" spans="1:9" ht="15" thickBot="1">
      <c r="B231" s="69">
        <v>46283</v>
      </c>
      <c r="C231" s="70" t="s">
        <v>636</v>
      </c>
      <c r="D231" s="72"/>
      <c r="E231" s="73"/>
      <c r="F231" s="70">
        <v>11.77</v>
      </c>
      <c r="G231" s="72">
        <v>11497.52</v>
      </c>
      <c r="H231" s="74">
        <f>H230+G231</f>
        <v>6739965.2160000009</v>
      </c>
      <c r="I231" s="75" t="s">
        <v>13</v>
      </c>
    </row>
    <row r="232" spans="1:9" ht="15" thickBot="1">
      <c r="B232" s="281">
        <v>46283</v>
      </c>
      <c r="C232" s="363" t="s">
        <v>309</v>
      </c>
      <c r="D232" s="246">
        <v>0.44</v>
      </c>
      <c r="E232" s="244">
        <v>431.15</v>
      </c>
      <c r="F232" s="150"/>
      <c r="G232" s="150"/>
      <c r="H232" s="153">
        <f t="shared" ref="H232:H239" si="21">H231-E232</f>
        <v>6739534.0660000006</v>
      </c>
      <c r="I232" s="493" t="s">
        <v>25</v>
      </c>
    </row>
    <row r="233" spans="1:9" ht="15" thickBot="1">
      <c r="B233" s="281">
        <v>46283</v>
      </c>
      <c r="C233" s="363" t="s">
        <v>309</v>
      </c>
      <c r="D233" s="246">
        <v>0.18</v>
      </c>
      <c r="E233" s="244">
        <v>172.46</v>
      </c>
      <c r="F233" s="150"/>
      <c r="G233" s="150"/>
      <c r="H233" s="153">
        <f t="shared" si="21"/>
        <v>6739361.6060000006</v>
      </c>
      <c r="I233" s="493" t="s">
        <v>25</v>
      </c>
    </row>
    <row r="234" spans="1:9" ht="15" thickBot="1">
      <c r="B234" s="281">
        <v>46283</v>
      </c>
      <c r="C234" s="492" t="s">
        <v>671</v>
      </c>
      <c r="D234" s="246">
        <v>1557.85</v>
      </c>
      <c r="E234" s="244">
        <v>1521311.91</v>
      </c>
      <c r="F234" s="150"/>
      <c r="G234" s="150"/>
      <c r="H234" s="153">
        <f t="shared" si="21"/>
        <v>5218049.6960000005</v>
      </c>
      <c r="I234" s="493" t="s">
        <v>10</v>
      </c>
    </row>
    <row r="235" spans="1:9" ht="15" thickBot="1">
      <c r="B235" s="281">
        <v>46283</v>
      </c>
      <c r="C235" s="492" t="s">
        <v>31</v>
      </c>
      <c r="D235" s="246">
        <v>4.67</v>
      </c>
      <c r="E235" s="244">
        <v>4563.93</v>
      </c>
      <c r="F235" s="150"/>
      <c r="G235" s="150"/>
      <c r="H235" s="153">
        <f t="shared" si="21"/>
        <v>5213485.7660000008</v>
      </c>
      <c r="I235" s="493" t="s">
        <v>25</v>
      </c>
    </row>
    <row r="236" spans="1:9" ht="29.5" thickBot="1">
      <c r="B236" s="281">
        <v>46283</v>
      </c>
      <c r="C236" s="494" t="s">
        <v>672</v>
      </c>
      <c r="D236" s="246">
        <v>521.35</v>
      </c>
      <c r="E236" s="244">
        <v>509127.48</v>
      </c>
      <c r="F236" s="150"/>
      <c r="G236" s="150"/>
      <c r="H236" s="153">
        <f t="shared" si="21"/>
        <v>4704358.2860000003</v>
      </c>
      <c r="I236" s="493" t="s">
        <v>10</v>
      </c>
    </row>
    <row r="237" spans="1:9" ht="15" thickBot="1">
      <c r="B237" s="281">
        <v>46283</v>
      </c>
      <c r="C237" s="492" t="s">
        <v>31</v>
      </c>
      <c r="D237" s="246">
        <v>1.56</v>
      </c>
      <c r="E237" s="244">
        <v>1527.38</v>
      </c>
      <c r="F237" s="150"/>
      <c r="G237" s="150"/>
      <c r="H237" s="153">
        <f t="shared" si="21"/>
        <v>4702830.9060000004</v>
      </c>
      <c r="I237" s="493" t="s">
        <v>25</v>
      </c>
    </row>
    <row r="238" spans="1:9" ht="15" thickBot="1">
      <c r="B238" s="281">
        <v>46283</v>
      </c>
      <c r="C238" s="492" t="s">
        <v>673</v>
      </c>
      <c r="D238" s="246">
        <v>799.76</v>
      </c>
      <c r="E238" s="244">
        <v>781001.55</v>
      </c>
      <c r="F238" s="150"/>
      <c r="G238" s="150"/>
      <c r="H238" s="153">
        <f t="shared" si="21"/>
        <v>3921829.3560000006</v>
      </c>
      <c r="I238" s="493" t="s">
        <v>10</v>
      </c>
    </row>
    <row r="239" spans="1:9" ht="15" thickBot="1">
      <c r="B239" s="281">
        <v>46283</v>
      </c>
      <c r="C239" s="492" t="s">
        <v>31</v>
      </c>
      <c r="D239" s="246">
        <v>2.4</v>
      </c>
      <c r="E239" s="244">
        <v>2343</v>
      </c>
      <c r="F239" s="150"/>
      <c r="G239" s="150"/>
      <c r="H239" s="153">
        <f t="shared" si="21"/>
        <v>3919486.3560000006</v>
      </c>
      <c r="I239" s="493" t="s">
        <v>25</v>
      </c>
    </row>
    <row r="240" spans="1:9" ht="15" thickBot="1">
      <c r="B240" s="69">
        <v>46284</v>
      </c>
      <c r="C240" s="70" t="s">
        <v>674</v>
      </c>
      <c r="D240" s="72"/>
      <c r="E240" s="73"/>
      <c r="F240" s="70">
        <v>17.600000000000001</v>
      </c>
      <c r="G240" s="72">
        <v>17188.77</v>
      </c>
      <c r="H240" s="74">
        <f>H239+G240</f>
        <v>3936675.1260000006</v>
      </c>
      <c r="I240" s="75" t="s">
        <v>13</v>
      </c>
    </row>
    <row r="241" spans="2:9" ht="15" thickBot="1">
      <c r="B241" s="69">
        <v>46284</v>
      </c>
      <c r="C241" s="70" t="s">
        <v>635</v>
      </c>
      <c r="D241" s="72"/>
      <c r="E241" s="73"/>
      <c r="F241" s="70">
        <v>14.67</v>
      </c>
      <c r="G241" s="72">
        <v>14323.98</v>
      </c>
      <c r="H241" s="74">
        <f>H240+G241</f>
        <v>3950999.1060000006</v>
      </c>
      <c r="I241" s="75" t="s">
        <v>13</v>
      </c>
    </row>
    <row r="242" spans="2:9" ht="15" thickBot="1">
      <c r="B242" s="281">
        <v>46284</v>
      </c>
      <c r="C242" s="492" t="s">
        <v>309</v>
      </c>
      <c r="D242" s="246">
        <v>0.26</v>
      </c>
      <c r="E242" s="244">
        <v>257.83</v>
      </c>
      <c r="F242" s="150"/>
      <c r="G242" s="150"/>
      <c r="H242" s="153">
        <f>H241-E242</f>
        <v>3950741.2760000005</v>
      </c>
      <c r="I242" s="493" t="s">
        <v>25</v>
      </c>
    </row>
    <row r="243" spans="2:9" ht="15" thickBot="1">
      <c r="B243" s="281">
        <v>46284</v>
      </c>
      <c r="C243" s="492" t="s">
        <v>309</v>
      </c>
      <c r="D243" s="246">
        <v>0.22</v>
      </c>
      <c r="E243" s="244">
        <v>214.85</v>
      </c>
      <c r="F243" s="150"/>
      <c r="G243" s="150"/>
      <c r="H243" s="153">
        <f>H242-E243</f>
        <v>3950526.4260000004</v>
      </c>
      <c r="I243" s="493" t="s">
        <v>25</v>
      </c>
    </row>
    <row r="244" spans="2:9" ht="15" thickBot="1">
      <c r="B244" s="281">
        <v>46284</v>
      </c>
      <c r="C244" s="492" t="s">
        <v>675</v>
      </c>
      <c r="D244" s="246">
        <v>7.87</v>
      </c>
      <c r="E244" s="244">
        <v>7687</v>
      </c>
      <c r="F244" s="150"/>
      <c r="G244" s="150"/>
      <c r="H244" s="153">
        <f>H243-E244</f>
        <v>3942839.4260000004</v>
      </c>
      <c r="I244" s="493" t="s">
        <v>13</v>
      </c>
    </row>
    <row r="245" spans="2:9" ht="15" thickBot="1">
      <c r="B245" s="281">
        <v>46284</v>
      </c>
      <c r="C245" s="492" t="s">
        <v>676</v>
      </c>
      <c r="D245" s="246">
        <v>1.57</v>
      </c>
      <c r="E245" s="244">
        <v>1529.22</v>
      </c>
      <c r="F245" s="150"/>
      <c r="G245" s="150"/>
      <c r="H245" s="153">
        <f>H244-E245</f>
        <v>3941310.2060000002</v>
      </c>
      <c r="I245" s="493" t="s">
        <v>13</v>
      </c>
    </row>
    <row r="246" spans="2:9" ht="15" thickBot="1">
      <c r="B246" s="281">
        <v>46284</v>
      </c>
      <c r="C246" s="492" t="s">
        <v>677</v>
      </c>
      <c r="D246" s="246">
        <v>2.68</v>
      </c>
      <c r="E246" s="244">
        <v>2617.5</v>
      </c>
      <c r="F246" s="150"/>
      <c r="G246" s="150"/>
      <c r="H246" s="153">
        <f>H245-E246</f>
        <v>3938692.7060000002</v>
      </c>
      <c r="I246" s="493" t="s">
        <v>13</v>
      </c>
    </row>
    <row r="247" spans="2:9" ht="15" thickBot="1">
      <c r="B247" s="69">
        <v>46285</v>
      </c>
      <c r="C247" s="70" t="s">
        <v>644</v>
      </c>
      <c r="D247" s="72"/>
      <c r="E247" s="73"/>
      <c r="F247" s="70">
        <v>40.270000000000003</v>
      </c>
      <c r="G247" s="72">
        <v>34371.919999999998</v>
      </c>
      <c r="H247" s="74">
        <f>H246+G247</f>
        <v>3973064.6260000002</v>
      </c>
      <c r="I247" s="75" t="s">
        <v>13</v>
      </c>
    </row>
    <row r="248" spans="2:9" ht="15" thickBot="1">
      <c r="B248" s="281">
        <v>46285</v>
      </c>
      <c r="C248" s="492" t="s">
        <v>309</v>
      </c>
      <c r="D248" s="246">
        <v>0.53</v>
      </c>
      <c r="E248" s="244">
        <v>515.57000000000005</v>
      </c>
      <c r="F248" s="150"/>
      <c r="G248" s="150"/>
      <c r="H248" s="153">
        <f>H247-E248</f>
        <v>3972549.0560000003</v>
      </c>
      <c r="I248" s="493" t="s">
        <v>25</v>
      </c>
    </row>
    <row r="249" spans="2:9" ht="15" thickBot="1">
      <c r="B249" s="69">
        <v>46285</v>
      </c>
      <c r="C249" s="70" t="s">
        <v>678</v>
      </c>
      <c r="D249" s="72"/>
      <c r="E249" s="73"/>
      <c r="F249" s="70">
        <v>29.33</v>
      </c>
      <c r="G249" s="72">
        <v>28641.88</v>
      </c>
      <c r="H249" s="74">
        <f>H248+G249</f>
        <v>4001190.9360000002</v>
      </c>
      <c r="I249" s="75" t="s">
        <v>13</v>
      </c>
    </row>
    <row r="250" spans="2:9" ht="15" thickBot="1">
      <c r="B250" s="281">
        <v>46285</v>
      </c>
      <c r="C250" s="492" t="s">
        <v>309</v>
      </c>
      <c r="D250" s="246">
        <v>0.44</v>
      </c>
      <c r="E250" s="244">
        <v>429.62</v>
      </c>
      <c r="F250" s="150"/>
      <c r="G250" s="150"/>
      <c r="H250" s="153">
        <f>H249-E250</f>
        <v>4000761.3160000001</v>
      </c>
      <c r="I250" s="493" t="s">
        <v>25</v>
      </c>
    </row>
    <row r="251" spans="2:9" ht="15" thickBot="1">
      <c r="B251" s="69">
        <v>46286</v>
      </c>
      <c r="C251" s="70" t="s">
        <v>642</v>
      </c>
      <c r="D251" s="72"/>
      <c r="E251" s="73"/>
      <c r="F251" s="70">
        <v>23.47</v>
      </c>
      <c r="G251" s="72">
        <v>22923.18</v>
      </c>
      <c r="H251" s="74">
        <f>H250+G251</f>
        <v>4023684.4960000003</v>
      </c>
      <c r="I251" s="75" t="s">
        <v>13</v>
      </c>
    </row>
    <row r="252" spans="2:9" ht="15" thickBot="1">
      <c r="B252" s="69">
        <v>46286</v>
      </c>
      <c r="C252" s="70" t="s">
        <v>679</v>
      </c>
      <c r="D252" s="72"/>
      <c r="E252" s="73"/>
      <c r="F252" s="70">
        <v>8.8000000000000007</v>
      </c>
      <c r="G252" s="72">
        <v>8595.84</v>
      </c>
      <c r="H252" s="74">
        <f>H251+G252</f>
        <v>4032280.3360000001</v>
      </c>
      <c r="I252" s="75" t="s">
        <v>13</v>
      </c>
    </row>
    <row r="253" spans="2:9" ht="15" thickBot="1">
      <c r="B253" s="281">
        <v>46286</v>
      </c>
      <c r="C253" s="492" t="s">
        <v>309</v>
      </c>
      <c r="D253" s="246">
        <v>0.35</v>
      </c>
      <c r="E253" s="244">
        <v>343.84</v>
      </c>
      <c r="F253" s="150"/>
      <c r="G253" s="150"/>
      <c r="H253" s="153">
        <f>H252-E253</f>
        <v>4031936.4960000003</v>
      </c>
      <c r="I253" s="493" t="s">
        <v>25</v>
      </c>
    </row>
    <row r="254" spans="2:9" ht="15" thickBot="1">
      <c r="B254" s="281">
        <v>46286</v>
      </c>
      <c r="C254" s="492" t="s">
        <v>309</v>
      </c>
      <c r="D254" s="246">
        <v>0.13</v>
      </c>
      <c r="E254" s="244">
        <v>128.93</v>
      </c>
      <c r="F254" s="150"/>
      <c r="G254" s="150"/>
      <c r="H254" s="153">
        <f>H253-E254</f>
        <v>4031807.5660000001</v>
      </c>
      <c r="I254" s="493" t="s">
        <v>25</v>
      </c>
    </row>
    <row r="255" spans="2:9" ht="29.5" thickBot="1">
      <c r="B255" s="69">
        <v>46286</v>
      </c>
      <c r="C255" s="378" t="s">
        <v>680</v>
      </c>
      <c r="D255" s="72"/>
      <c r="E255" s="73"/>
      <c r="F255" s="70">
        <v>152.61000000000001</v>
      </c>
      <c r="G255" s="72">
        <v>149035.79</v>
      </c>
      <c r="H255" s="74">
        <f>H254+G255</f>
        <v>4180843.3560000001</v>
      </c>
      <c r="I255" s="75" t="s">
        <v>10</v>
      </c>
    </row>
    <row r="256" spans="2:9" ht="15" thickBot="1">
      <c r="B256" s="281">
        <v>46286</v>
      </c>
      <c r="C256" s="492" t="s">
        <v>681</v>
      </c>
      <c r="D256" s="246">
        <v>101.49</v>
      </c>
      <c r="E256" s="244">
        <v>99110.14</v>
      </c>
      <c r="F256" s="150"/>
      <c r="G256" s="150"/>
      <c r="H256" s="153">
        <f>H255-E256</f>
        <v>4081733.216</v>
      </c>
      <c r="I256" s="493" t="s">
        <v>10</v>
      </c>
    </row>
    <row r="257" spans="2:12" ht="15" thickBot="1">
      <c r="B257" s="281">
        <v>46286</v>
      </c>
      <c r="C257" s="492" t="s">
        <v>31</v>
      </c>
      <c r="D257" s="246">
        <v>0.3</v>
      </c>
      <c r="E257" s="244">
        <v>297.33</v>
      </c>
      <c r="F257" s="150"/>
      <c r="G257" s="150"/>
      <c r="H257" s="153">
        <f>H256-E257</f>
        <v>4081435.8859999999</v>
      </c>
      <c r="I257" s="493" t="s">
        <v>25</v>
      </c>
    </row>
    <row r="258" spans="2:12" ht="15" thickBot="1">
      <c r="B258" s="69">
        <v>46287</v>
      </c>
      <c r="C258" s="70" t="s">
        <v>682</v>
      </c>
      <c r="D258" s="72"/>
      <c r="E258" s="73"/>
      <c r="F258" s="70">
        <v>32.270000000000003</v>
      </c>
      <c r="G258" s="72">
        <v>31508.38</v>
      </c>
      <c r="H258" s="74">
        <f>H257+G258</f>
        <v>4112944.2659999998</v>
      </c>
      <c r="I258" s="75" t="s">
        <v>13</v>
      </c>
    </row>
    <row r="259" spans="2:12" ht="15" thickBot="1">
      <c r="B259" s="69">
        <v>46287</v>
      </c>
      <c r="C259" s="70" t="s">
        <v>656</v>
      </c>
      <c r="D259" s="72"/>
      <c r="E259" s="73"/>
      <c r="F259" s="70">
        <v>29.85</v>
      </c>
      <c r="G259" s="72">
        <v>29153.279999999999</v>
      </c>
      <c r="H259" s="74">
        <f>H258+G259</f>
        <v>4142097.5459999996</v>
      </c>
      <c r="I259" s="75" t="s">
        <v>13</v>
      </c>
    </row>
    <row r="260" spans="2:12" ht="15" thickBot="1">
      <c r="B260" s="281">
        <v>46287</v>
      </c>
      <c r="C260" s="492" t="s">
        <v>309</v>
      </c>
      <c r="D260" s="246">
        <v>0.48</v>
      </c>
      <c r="E260" s="244">
        <v>472.62</v>
      </c>
      <c r="F260" s="150"/>
      <c r="G260" s="150"/>
      <c r="H260" s="153">
        <f>H259-E260</f>
        <v>4141624.9259999995</v>
      </c>
      <c r="I260" s="493" t="s">
        <v>25</v>
      </c>
    </row>
    <row r="261" spans="2:12" ht="15" thickBot="1">
      <c r="B261" s="281">
        <v>46287</v>
      </c>
      <c r="C261" s="492" t="s">
        <v>309</v>
      </c>
      <c r="D261" s="246">
        <v>0.45</v>
      </c>
      <c r="E261" s="244">
        <v>437.29</v>
      </c>
      <c r="F261" s="150"/>
      <c r="G261" s="150"/>
      <c r="H261" s="153">
        <f>H260-E261</f>
        <v>4141187.6359999995</v>
      </c>
      <c r="I261" s="493" t="s">
        <v>25</v>
      </c>
    </row>
    <row r="262" spans="2:12" ht="15" thickBot="1">
      <c r="B262" s="69">
        <v>46287</v>
      </c>
      <c r="C262" s="70" t="s">
        <v>683</v>
      </c>
      <c r="D262" s="72"/>
      <c r="E262" s="73"/>
      <c r="F262" s="381">
        <v>5699.96</v>
      </c>
      <c r="G262" s="72">
        <v>5566823.5800000001</v>
      </c>
      <c r="H262" s="74">
        <f>H261+G262</f>
        <v>9708011.216</v>
      </c>
      <c r="I262" s="75" t="s">
        <v>10</v>
      </c>
    </row>
    <row r="263" spans="2:12" ht="15" thickBot="1">
      <c r="B263" s="281">
        <v>46287</v>
      </c>
      <c r="C263" s="492" t="s">
        <v>684</v>
      </c>
      <c r="D263" s="246">
        <v>8.0399999999999991</v>
      </c>
      <c r="E263" s="244">
        <v>7850.88</v>
      </c>
      <c r="F263" s="150"/>
      <c r="G263" s="150"/>
      <c r="H263" s="153">
        <f>H262-E263</f>
        <v>9700160.3359999992</v>
      </c>
      <c r="I263" s="493" t="s">
        <v>13</v>
      </c>
      <c r="K263" s="498"/>
      <c r="L263" s="498"/>
    </row>
    <row r="264" spans="2:12" ht="15" thickBot="1">
      <c r="B264" s="281">
        <v>46287</v>
      </c>
      <c r="C264" s="495" t="s">
        <v>685</v>
      </c>
      <c r="D264" s="246">
        <v>1.58</v>
      </c>
      <c r="E264" s="244">
        <v>1534.35</v>
      </c>
      <c r="F264" s="150"/>
      <c r="G264" s="150"/>
      <c r="H264" s="153">
        <f>H263-E264</f>
        <v>9698625.9859999996</v>
      </c>
      <c r="I264" s="496" t="s">
        <v>13</v>
      </c>
      <c r="K264" s="498"/>
      <c r="L264" s="498"/>
    </row>
    <row r="265" spans="2:12" ht="15" thickBot="1">
      <c r="B265" s="281">
        <v>46287</v>
      </c>
      <c r="C265" s="495" t="s">
        <v>686</v>
      </c>
      <c r="D265" s="246">
        <v>42.34</v>
      </c>
      <c r="E265" s="244">
        <v>41237</v>
      </c>
      <c r="F265" s="150"/>
      <c r="G265" s="150"/>
      <c r="H265" s="153">
        <f>H264-E265</f>
        <v>9657388.9859999996</v>
      </c>
      <c r="I265" s="496" t="s">
        <v>13</v>
      </c>
      <c r="K265" s="498"/>
      <c r="L265" s="498"/>
    </row>
    <row r="266" spans="2:12" ht="15" thickBot="1">
      <c r="B266" s="281">
        <v>46287</v>
      </c>
      <c r="C266" s="495" t="s">
        <v>687</v>
      </c>
      <c r="D266" s="246">
        <v>2.8</v>
      </c>
      <c r="E266" s="244">
        <v>2727.74</v>
      </c>
      <c r="F266" s="150"/>
      <c r="G266" s="150"/>
      <c r="H266" s="153">
        <f t="shared" ref="H266:H275" si="22">H265-E266</f>
        <v>9654661.2459999993</v>
      </c>
      <c r="I266" s="496" t="s">
        <v>13</v>
      </c>
      <c r="K266" s="498"/>
      <c r="L266" s="498"/>
    </row>
    <row r="267" spans="2:12" ht="15" thickBot="1">
      <c r="B267" s="281">
        <v>46287</v>
      </c>
      <c r="C267" s="495" t="s">
        <v>688</v>
      </c>
      <c r="D267" s="246">
        <v>10.52</v>
      </c>
      <c r="E267" s="244">
        <v>10248</v>
      </c>
      <c r="F267" s="150"/>
      <c r="G267" s="150"/>
      <c r="H267" s="153">
        <f t="shared" si="22"/>
        <v>9644413.2459999993</v>
      </c>
      <c r="I267" s="496" t="s">
        <v>13</v>
      </c>
      <c r="K267" s="498"/>
      <c r="L267" s="498"/>
    </row>
    <row r="268" spans="2:12" ht="15" thickBot="1">
      <c r="B268" s="281">
        <v>46287</v>
      </c>
      <c r="C268" s="495" t="s">
        <v>689</v>
      </c>
      <c r="D268" s="246">
        <v>32.380000000000003</v>
      </c>
      <c r="E268" s="244">
        <v>31539.42</v>
      </c>
      <c r="F268" s="150"/>
      <c r="G268" s="150"/>
      <c r="H268" s="153">
        <f t="shared" si="22"/>
        <v>9612873.8259999994</v>
      </c>
      <c r="I268" s="496" t="s">
        <v>10</v>
      </c>
      <c r="K268" s="498"/>
      <c r="L268" s="498"/>
    </row>
    <row r="269" spans="2:12" ht="15" thickBot="1">
      <c r="B269" s="281">
        <v>46287</v>
      </c>
      <c r="C269" s="492" t="s">
        <v>31</v>
      </c>
      <c r="D269" s="246">
        <v>0.1</v>
      </c>
      <c r="E269" s="244">
        <v>94.61</v>
      </c>
      <c r="F269" s="150"/>
      <c r="G269" s="150"/>
      <c r="H269" s="153">
        <f t="shared" si="22"/>
        <v>9612779.216</v>
      </c>
      <c r="I269" s="496" t="s">
        <v>25</v>
      </c>
      <c r="K269" s="498"/>
      <c r="L269" s="498"/>
    </row>
    <row r="270" spans="2:12" ht="15" thickBot="1">
      <c r="B270" s="281">
        <v>46287</v>
      </c>
      <c r="C270" s="495" t="s">
        <v>690</v>
      </c>
      <c r="D270" s="246">
        <v>113.76</v>
      </c>
      <c r="E270" s="244">
        <v>110814.18</v>
      </c>
      <c r="F270" s="150"/>
      <c r="G270" s="150"/>
      <c r="H270" s="153">
        <f t="shared" si="22"/>
        <v>9501965.0360000003</v>
      </c>
      <c r="I270" s="496" t="s">
        <v>10</v>
      </c>
    </row>
    <row r="271" spans="2:12" ht="15" thickBot="1">
      <c r="B271" s="281">
        <v>46287</v>
      </c>
      <c r="C271" s="492" t="s">
        <v>31</v>
      </c>
      <c r="D271" s="246">
        <v>0.34</v>
      </c>
      <c r="E271" s="244">
        <v>332.44</v>
      </c>
      <c r="F271" s="150"/>
      <c r="G271" s="150"/>
      <c r="H271" s="153">
        <f t="shared" si="22"/>
        <v>9501632.5960000008</v>
      </c>
      <c r="I271" s="496" t="s">
        <v>25</v>
      </c>
    </row>
    <row r="272" spans="2:12" ht="15" thickBot="1">
      <c r="B272" s="281">
        <v>46287</v>
      </c>
      <c r="C272" s="495" t="s">
        <v>691</v>
      </c>
      <c r="D272" s="246">
        <v>13.2</v>
      </c>
      <c r="E272" s="244">
        <v>12853.34</v>
      </c>
      <c r="F272" s="150"/>
      <c r="G272" s="150"/>
      <c r="H272" s="153">
        <f t="shared" si="22"/>
        <v>9488779.256000001</v>
      </c>
      <c r="I272" s="496" t="s">
        <v>10</v>
      </c>
    </row>
    <row r="273" spans="2:9" ht="15" thickBot="1">
      <c r="B273" s="281">
        <v>46287</v>
      </c>
      <c r="C273" s="492" t="s">
        <v>31</v>
      </c>
      <c r="D273" s="246">
        <v>0.04</v>
      </c>
      <c r="E273" s="244">
        <v>38.56</v>
      </c>
      <c r="F273" s="150"/>
      <c r="G273" s="150"/>
      <c r="H273" s="153">
        <f t="shared" si="22"/>
        <v>9488740.6960000005</v>
      </c>
      <c r="I273" s="496" t="s">
        <v>25</v>
      </c>
    </row>
    <row r="274" spans="2:9" ht="15" thickBot="1">
      <c r="B274" s="281">
        <v>46287</v>
      </c>
      <c r="C274" s="495" t="s">
        <v>692</v>
      </c>
      <c r="D274" s="246">
        <v>432.44</v>
      </c>
      <c r="E274" s="244">
        <v>421225.23</v>
      </c>
      <c r="F274" s="150"/>
      <c r="G274" s="150"/>
      <c r="H274" s="153">
        <f t="shared" si="22"/>
        <v>9067515.466</v>
      </c>
      <c r="I274" s="496" t="s">
        <v>10</v>
      </c>
    </row>
    <row r="275" spans="2:9" ht="15" thickBot="1">
      <c r="B275" s="281">
        <v>46287</v>
      </c>
      <c r="C275" s="495" t="s">
        <v>693</v>
      </c>
      <c r="D275" s="246">
        <v>35.26</v>
      </c>
      <c r="E275" s="244">
        <v>34343.64</v>
      </c>
      <c r="F275" s="150"/>
      <c r="G275" s="150"/>
      <c r="H275" s="153">
        <f t="shared" si="22"/>
        <v>9033171.8259999994</v>
      </c>
      <c r="I275" s="496" t="s">
        <v>10</v>
      </c>
    </row>
    <row r="276" spans="2:9" ht="15" thickBot="1">
      <c r="B276" s="69">
        <v>46288</v>
      </c>
      <c r="C276" s="70" t="s">
        <v>703</v>
      </c>
      <c r="D276" s="72"/>
      <c r="E276" s="73"/>
      <c r="F276" s="70">
        <v>32.479999999999997</v>
      </c>
      <c r="G276" s="72">
        <v>31634.13</v>
      </c>
      <c r="H276" s="74">
        <f>H275+G276</f>
        <v>9064805.9560000002</v>
      </c>
      <c r="I276" s="75" t="s">
        <v>13</v>
      </c>
    </row>
    <row r="277" spans="2:9" ht="15" thickBot="1">
      <c r="B277" s="69">
        <v>46288</v>
      </c>
      <c r="C277" s="70" t="s">
        <v>670</v>
      </c>
      <c r="D277" s="72"/>
      <c r="E277" s="73"/>
      <c r="F277" s="70">
        <v>26.57</v>
      </c>
      <c r="G277" s="72">
        <v>25883.41</v>
      </c>
      <c r="H277" s="74">
        <f>H276+G277</f>
        <v>9090689.3660000004</v>
      </c>
      <c r="I277" s="75" t="s">
        <v>13</v>
      </c>
    </row>
    <row r="278" spans="2:9" ht="15" thickBot="1">
      <c r="B278" s="281">
        <v>46288</v>
      </c>
      <c r="C278" s="492" t="s">
        <v>309</v>
      </c>
      <c r="D278" s="246">
        <v>0.49</v>
      </c>
      <c r="E278" s="244">
        <v>474.51</v>
      </c>
      <c r="F278" s="150"/>
      <c r="G278" s="150"/>
      <c r="H278" s="153">
        <f t="shared" ref="H278:H283" si="23">H277-E278</f>
        <v>9090214.8560000006</v>
      </c>
      <c r="I278" s="496" t="s">
        <v>25</v>
      </c>
    </row>
    <row r="279" spans="2:9" ht="15" thickBot="1">
      <c r="B279" s="281">
        <v>46288</v>
      </c>
      <c r="C279" s="492" t="s">
        <v>309</v>
      </c>
      <c r="D279" s="246">
        <v>0.4</v>
      </c>
      <c r="E279" s="244">
        <v>388.25</v>
      </c>
      <c r="F279" s="150"/>
      <c r="G279" s="150"/>
      <c r="H279" s="153">
        <f t="shared" si="23"/>
        <v>9089826.6060000006</v>
      </c>
      <c r="I279" s="496" t="s">
        <v>25</v>
      </c>
    </row>
    <row r="280" spans="2:9" ht="15" thickBot="1">
      <c r="B280" s="281">
        <v>46288</v>
      </c>
      <c r="C280" s="503" t="s">
        <v>704</v>
      </c>
      <c r="D280" s="246">
        <v>8.15</v>
      </c>
      <c r="E280" s="244">
        <v>7943.46</v>
      </c>
      <c r="F280" s="150"/>
      <c r="G280" s="150"/>
      <c r="H280" s="153">
        <f t="shared" si="23"/>
        <v>9081883.1459999997</v>
      </c>
      <c r="I280" s="496" t="s">
        <v>10</v>
      </c>
    </row>
    <row r="281" spans="2:9" ht="15" thickBot="1">
      <c r="B281" s="281">
        <v>46288</v>
      </c>
      <c r="C281" s="492" t="s">
        <v>31</v>
      </c>
      <c r="D281" s="246">
        <v>0.02</v>
      </c>
      <c r="E281" s="244">
        <v>23.83</v>
      </c>
      <c r="F281" s="150"/>
      <c r="G281" s="150"/>
      <c r="H281" s="153">
        <f t="shared" si="23"/>
        <v>9081859.3159999996</v>
      </c>
      <c r="I281" s="496" t="s">
        <v>25</v>
      </c>
    </row>
    <row r="282" spans="2:9" ht="29.5" thickBot="1">
      <c r="B282" s="281">
        <v>46288</v>
      </c>
      <c r="C282" s="503" t="s">
        <v>705</v>
      </c>
      <c r="D282" s="246">
        <v>10.87</v>
      </c>
      <c r="E282" s="244">
        <v>10591.03</v>
      </c>
      <c r="F282" s="150"/>
      <c r="G282" s="150"/>
      <c r="H282" s="153">
        <f t="shared" si="23"/>
        <v>9071268.2860000003</v>
      </c>
      <c r="I282" s="496" t="s">
        <v>10</v>
      </c>
    </row>
    <row r="283" spans="2:9" ht="15" thickBot="1">
      <c r="B283" s="281">
        <v>46288</v>
      </c>
      <c r="C283" s="492" t="s">
        <v>31</v>
      </c>
      <c r="D283" s="246">
        <v>0.03</v>
      </c>
      <c r="E283" s="244">
        <v>31.77</v>
      </c>
      <c r="F283" s="150"/>
      <c r="G283" s="150"/>
      <c r="H283" s="153">
        <f t="shared" si="23"/>
        <v>9071236.5160000008</v>
      </c>
      <c r="I283" s="496" t="s">
        <v>25</v>
      </c>
    </row>
    <row r="284" spans="2:9" ht="15" thickBot="1">
      <c r="B284" s="69">
        <v>46289</v>
      </c>
      <c r="C284" s="70" t="s">
        <v>674</v>
      </c>
      <c r="D284" s="72"/>
      <c r="E284" s="73"/>
      <c r="F284" s="70">
        <v>26.53</v>
      </c>
      <c r="G284" s="72">
        <v>25839.78</v>
      </c>
      <c r="H284" s="74">
        <f>H283+G284</f>
        <v>9097076.2960000001</v>
      </c>
      <c r="I284" s="75" t="s">
        <v>13</v>
      </c>
    </row>
    <row r="285" spans="2:9" ht="15" thickBot="1">
      <c r="B285" s="69">
        <v>46289</v>
      </c>
      <c r="C285" s="70" t="s">
        <v>706</v>
      </c>
      <c r="D285" s="72"/>
      <c r="E285" s="73"/>
      <c r="F285" s="70">
        <v>26.53</v>
      </c>
      <c r="G285" s="72">
        <v>25839.43</v>
      </c>
      <c r="H285" s="74">
        <f t="shared" ref="H285:H287" si="24">H284+G285</f>
        <v>9122915.7259999998</v>
      </c>
      <c r="I285" s="75" t="s">
        <v>13</v>
      </c>
    </row>
    <row r="286" spans="2:9" ht="15" thickBot="1">
      <c r="B286" s="69">
        <v>46289</v>
      </c>
      <c r="C286" s="70" t="s">
        <v>707</v>
      </c>
      <c r="D286" s="72"/>
      <c r="E286" s="73"/>
      <c r="F286" s="70">
        <v>10.36</v>
      </c>
      <c r="G286" s="72">
        <v>10087.219999999999</v>
      </c>
      <c r="H286" s="74">
        <f t="shared" si="24"/>
        <v>9133002.9460000005</v>
      </c>
      <c r="I286" s="75" t="s">
        <v>13</v>
      </c>
    </row>
    <row r="287" spans="2:9" ht="15" thickBot="1">
      <c r="B287" s="69">
        <v>46289</v>
      </c>
      <c r="C287" s="70" t="s">
        <v>708</v>
      </c>
      <c r="D287" s="72"/>
      <c r="E287" s="73"/>
      <c r="F287" s="70">
        <v>3.19</v>
      </c>
      <c r="G287" s="72">
        <v>3111.49</v>
      </c>
      <c r="H287" s="74">
        <f t="shared" si="24"/>
        <v>9136114.4360000007</v>
      </c>
      <c r="I287" s="75" t="s">
        <v>13</v>
      </c>
    </row>
    <row r="288" spans="2:9" ht="15" thickBot="1">
      <c r="B288" s="281">
        <v>46289</v>
      </c>
      <c r="C288" s="492" t="s">
        <v>309</v>
      </c>
      <c r="D288" s="246">
        <v>0.4</v>
      </c>
      <c r="E288" s="244">
        <v>387.59</v>
      </c>
      <c r="F288" s="150"/>
      <c r="G288" s="150"/>
      <c r="H288" s="153">
        <f>H287-E288</f>
        <v>9135726.8460000008</v>
      </c>
      <c r="I288" s="496" t="s">
        <v>25</v>
      </c>
    </row>
    <row r="289" spans="2:9" ht="15" thickBot="1">
      <c r="B289" s="281">
        <v>46289</v>
      </c>
      <c r="C289" s="492" t="s">
        <v>309</v>
      </c>
      <c r="D289" s="246">
        <v>0.4</v>
      </c>
      <c r="E289" s="244">
        <v>387.59</v>
      </c>
      <c r="F289" s="150"/>
      <c r="G289" s="150"/>
      <c r="H289" s="153">
        <f t="shared" ref="H289:H302" si="25">H288-E289</f>
        <v>9135339.256000001</v>
      </c>
      <c r="I289" s="496" t="s">
        <v>25</v>
      </c>
    </row>
    <row r="290" spans="2:9" ht="15" thickBot="1">
      <c r="B290" s="281">
        <v>46289</v>
      </c>
      <c r="C290" s="492" t="s">
        <v>309</v>
      </c>
      <c r="D290" s="246">
        <v>0.16</v>
      </c>
      <c r="E290" s="244">
        <v>151.30000000000001</v>
      </c>
      <c r="F290" s="150"/>
      <c r="G290" s="150"/>
      <c r="H290" s="153">
        <f t="shared" si="25"/>
        <v>9135187.9560000002</v>
      </c>
      <c r="I290" s="496" t="s">
        <v>25</v>
      </c>
    </row>
    <row r="291" spans="2:9" ht="15" thickBot="1">
      <c r="B291" s="281">
        <v>46289</v>
      </c>
      <c r="C291" s="492" t="s">
        <v>309</v>
      </c>
      <c r="D291" s="246">
        <v>0.05</v>
      </c>
      <c r="E291" s="244">
        <v>46.67</v>
      </c>
      <c r="F291" s="150"/>
      <c r="G291" s="150"/>
      <c r="H291" s="153">
        <f t="shared" si="25"/>
        <v>9135141.2860000003</v>
      </c>
      <c r="I291" s="496" t="s">
        <v>25</v>
      </c>
    </row>
    <row r="292" spans="2:9" ht="15" thickBot="1">
      <c r="B292" s="281">
        <v>46289</v>
      </c>
      <c r="C292" s="495" t="s">
        <v>709</v>
      </c>
      <c r="D292" s="246">
        <v>30.68</v>
      </c>
      <c r="E292" s="244">
        <v>29889.02</v>
      </c>
      <c r="F292" s="150"/>
      <c r="G292" s="150"/>
      <c r="H292" s="153">
        <f t="shared" si="25"/>
        <v>9105252.2660000008</v>
      </c>
      <c r="I292" s="496" t="s">
        <v>13</v>
      </c>
    </row>
    <row r="293" spans="2:9" ht="15" thickBot="1">
      <c r="B293" s="281">
        <v>46289</v>
      </c>
      <c r="C293" s="504" t="s">
        <v>710</v>
      </c>
      <c r="D293" s="246">
        <v>26.32</v>
      </c>
      <c r="E293" s="244">
        <v>25633.91</v>
      </c>
      <c r="F293" s="150"/>
      <c r="G293" s="150"/>
      <c r="H293" s="153">
        <f t="shared" si="25"/>
        <v>9079618.3560000006</v>
      </c>
      <c r="I293" s="505" t="s">
        <v>10</v>
      </c>
    </row>
    <row r="294" spans="2:9" ht="15" thickBot="1">
      <c r="B294" s="281">
        <v>46289</v>
      </c>
      <c r="C294" s="504" t="s">
        <v>31</v>
      </c>
      <c r="D294" s="246">
        <v>0.08</v>
      </c>
      <c r="E294" s="244">
        <v>76.900000000000006</v>
      </c>
      <c r="F294" s="150"/>
      <c r="G294" s="150"/>
      <c r="H294" s="153">
        <f t="shared" si="25"/>
        <v>9079541.4560000002</v>
      </c>
      <c r="I294" s="505" t="s">
        <v>25</v>
      </c>
    </row>
    <row r="295" spans="2:9" ht="15" thickBot="1">
      <c r="B295" s="281">
        <v>46289</v>
      </c>
      <c r="C295" s="526" t="s">
        <v>748</v>
      </c>
      <c r="D295" s="246">
        <v>2629.96</v>
      </c>
      <c r="E295" s="244">
        <v>2563391.1</v>
      </c>
      <c r="F295" s="150"/>
      <c r="G295" s="150"/>
      <c r="H295" s="153">
        <f t="shared" si="25"/>
        <v>6516150.3560000006</v>
      </c>
      <c r="I295" s="507" t="s">
        <v>10</v>
      </c>
    </row>
    <row r="296" spans="2:9" ht="15" thickBot="1">
      <c r="B296" s="281">
        <v>46289</v>
      </c>
      <c r="C296" s="504" t="s">
        <v>31</v>
      </c>
      <c r="D296" s="246">
        <v>7.9</v>
      </c>
      <c r="E296" s="244">
        <v>7690.17</v>
      </c>
      <c r="F296" s="150"/>
      <c r="G296" s="150"/>
      <c r="H296" s="153">
        <f t="shared" si="25"/>
        <v>6508460.1860000007</v>
      </c>
      <c r="I296" s="507" t="s">
        <v>25</v>
      </c>
    </row>
    <row r="297" spans="2:9" ht="15" thickBot="1">
      <c r="B297" s="281">
        <v>46289</v>
      </c>
      <c r="C297" s="506" t="s">
        <v>712</v>
      </c>
      <c r="D297" s="246">
        <v>809.78</v>
      </c>
      <c r="E297" s="244">
        <v>788670</v>
      </c>
      <c r="F297" s="150"/>
      <c r="G297" s="150"/>
      <c r="H297" s="153">
        <f t="shared" si="25"/>
        <v>5719790.1860000007</v>
      </c>
      <c r="I297" s="507" t="s">
        <v>10</v>
      </c>
    </row>
    <row r="298" spans="2:9" ht="15" thickBot="1">
      <c r="B298" s="281">
        <v>46289</v>
      </c>
      <c r="C298" s="504" t="s">
        <v>31</v>
      </c>
      <c r="D298" s="246">
        <v>2.4300000000000002</v>
      </c>
      <c r="E298" s="244">
        <v>2366.0100000000002</v>
      </c>
      <c r="F298" s="150"/>
      <c r="G298" s="150"/>
      <c r="H298" s="153">
        <f t="shared" si="25"/>
        <v>5717424.1760000009</v>
      </c>
      <c r="I298" s="507" t="s">
        <v>25</v>
      </c>
    </row>
    <row r="299" spans="2:9" ht="29.5" thickBot="1">
      <c r="B299" s="281">
        <v>46289</v>
      </c>
      <c r="C299" s="508" t="s">
        <v>713</v>
      </c>
      <c r="D299" s="246">
        <v>1666.71</v>
      </c>
      <c r="E299" s="244">
        <v>1623481.03</v>
      </c>
      <c r="F299" s="150"/>
      <c r="G299" s="150"/>
      <c r="H299" s="153">
        <f t="shared" si="25"/>
        <v>4093943.1460000006</v>
      </c>
      <c r="I299" s="507" t="s">
        <v>10</v>
      </c>
    </row>
    <row r="300" spans="2:9" ht="15" thickBot="1">
      <c r="B300" s="281">
        <v>46289</v>
      </c>
      <c r="C300" s="504" t="s">
        <v>31</v>
      </c>
      <c r="D300" s="246">
        <v>5</v>
      </c>
      <c r="E300" s="244">
        <v>4870.4399999999996</v>
      </c>
      <c r="F300" s="150"/>
      <c r="G300" s="150"/>
      <c r="H300" s="153">
        <f t="shared" si="25"/>
        <v>4089072.7060000007</v>
      </c>
      <c r="I300" s="507" t="s">
        <v>25</v>
      </c>
    </row>
    <row r="301" spans="2:9" ht="29.5" thickBot="1">
      <c r="B301" s="281">
        <v>46289</v>
      </c>
      <c r="C301" s="508" t="s">
        <v>714</v>
      </c>
      <c r="D301" s="246">
        <v>824.7</v>
      </c>
      <c r="E301" s="244">
        <v>803195.88</v>
      </c>
      <c r="F301" s="150"/>
      <c r="G301" s="150"/>
      <c r="H301" s="153">
        <f t="shared" si="25"/>
        <v>3285876.8260000008</v>
      </c>
      <c r="I301" s="507" t="s">
        <v>10</v>
      </c>
    </row>
    <row r="302" spans="2:9" ht="15" thickBot="1">
      <c r="B302" s="281">
        <v>46289</v>
      </c>
      <c r="C302" s="506" t="s">
        <v>31</v>
      </c>
      <c r="D302" s="246">
        <v>2.4700000000000002</v>
      </c>
      <c r="E302" s="244">
        <v>2409.58</v>
      </c>
      <c r="F302" s="150"/>
      <c r="G302" s="150"/>
      <c r="H302" s="153">
        <f t="shared" si="25"/>
        <v>3283467.2460000007</v>
      </c>
      <c r="I302" s="507" t="s">
        <v>25</v>
      </c>
    </row>
    <row r="303" spans="2:9" ht="15" thickBot="1">
      <c r="B303" s="69">
        <v>46290</v>
      </c>
      <c r="C303" s="70" t="s">
        <v>678</v>
      </c>
      <c r="D303" s="72"/>
      <c r="E303" s="73"/>
      <c r="F303" s="70"/>
      <c r="G303" s="72">
        <v>25774.51</v>
      </c>
      <c r="H303" s="74">
        <f>H302+G303</f>
        <v>3309241.7560000005</v>
      </c>
      <c r="I303" s="75" t="s">
        <v>13</v>
      </c>
    </row>
    <row r="304" spans="2:9" ht="15" thickBot="1">
      <c r="B304" s="69">
        <v>46290</v>
      </c>
      <c r="C304" s="70" t="s">
        <v>715</v>
      </c>
      <c r="D304" s="72"/>
      <c r="E304" s="73"/>
      <c r="F304" s="70"/>
      <c r="G304" s="72">
        <v>20047.82</v>
      </c>
      <c r="H304" s="74">
        <f>H303+G304</f>
        <v>3329289.5760000004</v>
      </c>
      <c r="I304" s="75" t="s">
        <v>13</v>
      </c>
    </row>
    <row r="305" spans="2:9" ht="15" thickBot="1">
      <c r="B305" s="281">
        <v>46290</v>
      </c>
      <c r="C305" s="492" t="s">
        <v>309</v>
      </c>
      <c r="D305" s="246">
        <v>0.4</v>
      </c>
      <c r="E305" s="244">
        <v>386.61</v>
      </c>
      <c r="F305" s="150"/>
      <c r="G305" s="150"/>
      <c r="H305" s="153">
        <f>H304-E305</f>
        <v>3328902.9660000005</v>
      </c>
      <c r="I305" s="507" t="s">
        <v>25</v>
      </c>
    </row>
    <row r="306" spans="2:9" ht="15" thickBot="1">
      <c r="B306" s="281">
        <v>46290</v>
      </c>
      <c r="C306" s="492" t="s">
        <v>309</v>
      </c>
      <c r="D306" s="246">
        <v>0.31</v>
      </c>
      <c r="E306" s="244">
        <v>300.70999999999998</v>
      </c>
      <c r="F306" s="150"/>
      <c r="G306" s="150"/>
      <c r="H306" s="153">
        <f>H305-E306</f>
        <v>3328602.2560000005</v>
      </c>
      <c r="I306" s="507" t="s">
        <v>25</v>
      </c>
    </row>
    <row r="307" spans="2:9" ht="15" thickBot="1">
      <c r="B307" s="281">
        <v>46290</v>
      </c>
      <c r="C307" s="506" t="s">
        <v>588</v>
      </c>
      <c r="D307" s="246">
        <v>18.010000000000002</v>
      </c>
      <c r="E307" s="244">
        <v>17541.02</v>
      </c>
      <c r="F307" s="150"/>
      <c r="G307" s="150"/>
      <c r="H307" s="153">
        <f>H306-E307</f>
        <v>3311061.2360000005</v>
      </c>
      <c r="I307" s="507" t="s">
        <v>13</v>
      </c>
    </row>
    <row r="308" spans="2:9" ht="15" thickBot="1">
      <c r="B308" s="509">
        <v>46290</v>
      </c>
      <c r="C308" s="506" t="s">
        <v>716</v>
      </c>
      <c r="D308" s="246">
        <v>53.42</v>
      </c>
      <c r="E308" s="244">
        <v>52024.07</v>
      </c>
      <c r="F308" s="150"/>
      <c r="G308" s="150"/>
      <c r="H308" s="153">
        <f>H307-E308</f>
        <v>3259037.1660000007</v>
      </c>
      <c r="I308" s="507" t="s">
        <v>13</v>
      </c>
    </row>
    <row r="309" spans="2:9" ht="15" thickBot="1">
      <c r="B309" s="69">
        <v>46291</v>
      </c>
      <c r="C309" s="70" t="s">
        <v>717</v>
      </c>
      <c r="D309" s="72"/>
      <c r="E309" s="73"/>
      <c r="F309" s="70">
        <v>32.31</v>
      </c>
      <c r="G309" s="72">
        <v>31467.97</v>
      </c>
      <c r="H309" s="74">
        <f>H308+G309</f>
        <v>3290505.1360000009</v>
      </c>
      <c r="I309" s="75" t="s">
        <v>13</v>
      </c>
    </row>
    <row r="310" spans="2:9" ht="15" thickBot="1">
      <c r="B310" s="69">
        <v>46291</v>
      </c>
      <c r="C310" s="70" t="s">
        <v>679</v>
      </c>
      <c r="D310" s="72"/>
      <c r="E310" s="73"/>
      <c r="F310" s="70">
        <v>20.56</v>
      </c>
      <c r="G310" s="72">
        <v>20021.3</v>
      </c>
      <c r="H310" s="74">
        <f>H309+G310</f>
        <v>3310526.4360000007</v>
      </c>
      <c r="I310" s="75" t="s">
        <v>13</v>
      </c>
    </row>
    <row r="311" spans="2:9" ht="15" thickBot="1">
      <c r="B311" s="281">
        <v>46291</v>
      </c>
      <c r="C311" s="492" t="s">
        <v>309</v>
      </c>
      <c r="D311" s="246">
        <v>0.48</v>
      </c>
      <c r="E311" s="244">
        <v>472.01</v>
      </c>
      <c r="F311" s="150"/>
      <c r="G311" s="150"/>
      <c r="H311" s="153">
        <f>H310-E311</f>
        <v>3310054.4260000009</v>
      </c>
      <c r="I311" s="507" t="s">
        <v>25</v>
      </c>
    </row>
    <row r="312" spans="2:9" ht="15" thickBot="1">
      <c r="B312" s="281">
        <v>46291</v>
      </c>
      <c r="C312" s="492" t="s">
        <v>309</v>
      </c>
      <c r="D312" s="246">
        <v>0.31</v>
      </c>
      <c r="E312" s="244">
        <v>300.31</v>
      </c>
      <c r="F312" s="150"/>
      <c r="G312" s="150"/>
      <c r="H312" s="153">
        <f>H311-E312</f>
        <v>3309754.1160000009</v>
      </c>
      <c r="I312" s="507" t="s">
        <v>25</v>
      </c>
    </row>
    <row r="313" spans="2:9" ht="15" thickBot="1">
      <c r="B313" s="69">
        <v>46292</v>
      </c>
      <c r="C313" s="70" t="s">
        <v>682</v>
      </c>
      <c r="D313" s="72"/>
      <c r="E313" s="73"/>
      <c r="F313" s="70">
        <v>32.89</v>
      </c>
      <c r="G313" s="474">
        <v>32033.7</v>
      </c>
      <c r="H313" s="74">
        <f>H312+G313</f>
        <v>3341787.816000001</v>
      </c>
      <c r="I313" s="75" t="s">
        <v>13</v>
      </c>
    </row>
    <row r="314" spans="2:9" ht="15" thickBot="1">
      <c r="B314" s="281">
        <v>46292</v>
      </c>
      <c r="C314" s="492" t="s">
        <v>309</v>
      </c>
      <c r="D314" s="246">
        <v>0.49</v>
      </c>
      <c r="E314" s="244">
        <v>480.5</v>
      </c>
      <c r="F314" s="150"/>
      <c r="G314" s="150"/>
      <c r="H314" s="153">
        <f>H313-E314</f>
        <v>3341307.316000001</v>
      </c>
      <c r="I314" s="507" t="s">
        <v>25</v>
      </c>
    </row>
    <row r="315" spans="2:9" ht="15" thickBot="1">
      <c r="B315" s="69">
        <v>46292</v>
      </c>
      <c r="C315" s="70" t="s">
        <v>718</v>
      </c>
      <c r="D315" s="72"/>
      <c r="E315" s="73"/>
      <c r="F315" s="70">
        <v>8.81</v>
      </c>
      <c r="G315" s="72">
        <v>8578.48</v>
      </c>
      <c r="H315" s="74">
        <f>H314+G315</f>
        <v>3349885.796000001</v>
      </c>
      <c r="I315" s="75" t="s">
        <v>13</v>
      </c>
    </row>
    <row r="316" spans="2:9" ht="15" thickBot="1">
      <c r="B316" s="281">
        <v>46292</v>
      </c>
      <c r="C316" s="492" t="s">
        <v>309</v>
      </c>
      <c r="D316" s="246">
        <v>0.13</v>
      </c>
      <c r="E316" s="244">
        <v>128.66999999999999</v>
      </c>
      <c r="F316" s="150"/>
      <c r="G316" s="150"/>
      <c r="H316" s="153">
        <f>H315-E316</f>
        <v>3349757.1260000011</v>
      </c>
      <c r="I316" s="507" t="s">
        <v>25</v>
      </c>
    </row>
    <row r="317" spans="2:9" ht="15" thickBot="1">
      <c r="B317" s="69">
        <v>46293</v>
      </c>
      <c r="C317" s="70" t="s">
        <v>703</v>
      </c>
      <c r="D317" s="72"/>
      <c r="E317" s="73"/>
      <c r="F317" s="70">
        <v>17.68</v>
      </c>
      <c r="G317" s="72">
        <v>17220.32</v>
      </c>
      <c r="H317" s="74">
        <f>H316+G317</f>
        <v>3366977.4460000009</v>
      </c>
      <c r="I317" s="75" t="s">
        <v>13</v>
      </c>
    </row>
    <row r="318" spans="2:9" ht="15" thickBot="1">
      <c r="B318" s="281">
        <v>46293</v>
      </c>
      <c r="C318" s="492" t="s">
        <v>309</v>
      </c>
      <c r="D318" s="246">
        <v>0.27</v>
      </c>
      <c r="E318" s="244">
        <v>258.3</v>
      </c>
      <c r="F318" s="150"/>
      <c r="G318" s="150"/>
      <c r="H318" s="153">
        <f>H317-E318</f>
        <v>3366719.1460000011</v>
      </c>
      <c r="I318" s="507" t="s">
        <v>25</v>
      </c>
    </row>
    <row r="319" spans="2:9" ht="15" thickBot="1">
      <c r="B319" s="69">
        <v>46293</v>
      </c>
      <c r="C319" s="70" t="s">
        <v>719</v>
      </c>
      <c r="D319" s="72"/>
      <c r="E319" s="73"/>
      <c r="F319" s="70">
        <v>11.8</v>
      </c>
      <c r="G319" s="72">
        <v>11488.35</v>
      </c>
      <c r="H319" s="74">
        <f>H318+G319</f>
        <v>3378207.4960000012</v>
      </c>
      <c r="I319" s="75" t="s">
        <v>13</v>
      </c>
    </row>
    <row r="320" spans="2:9" ht="15" thickBot="1">
      <c r="B320" s="509">
        <v>46293</v>
      </c>
      <c r="C320" s="492" t="s">
        <v>309</v>
      </c>
      <c r="D320" s="246">
        <v>0.18</v>
      </c>
      <c r="E320" s="244">
        <v>172.32</v>
      </c>
      <c r="F320" s="150"/>
      <c r="G320" s="150"/>
      <c r="H320" s="153">
        <f>H319-E320</f>
        <v>3378035.1760000014</v>
      </c>
      <c r="I320" s="507" t="s">
        <v>25</v>
      </c>
    </row>
    <row r="321" spans="2:9" ht="29.5" thickBot="1">
      <c r="B321" s="509">
        <v>46293</v>
      </c>
      <c r="C321" s="508" t="s">
        <v>720</v>
      </c>
      <c r="D321" s="246">
        <v>3.52</v>
      </c>
      <c r="E321" s="244">
        <v>3432</v>
      </c>
      <c r="F321" s="150"/>
      <c r="G321" s="150"/>
      <c r="H321" s="153">
        <f>H320-E321</f>
        <v>3374603.1760000014</v>
      </c>
      <c r="I321" s="507" t="s">
        <v>13</v>
      </c>
    </row>
    <row r="322" spans="2:9" ht="29.5" thickBot="1">
      <c r="B322" s="281">
        <v>46293</v>
      </c>
      <c r="C322" s="508" t="s">
        <v>721</v>
      </c>
      <c r="D322" s="246">
        <v>24.5</v>
      </c>
      <c r="E322" s="244">
        <v>23859.15</v>
      </c>
      <c r="F322" s="150"/>
      <c r="G322" s="150"/>
      <c r="H322" s="153">
        <f>H321-E322</f>
        <v>3350744.0260000015</v>
      </c>
      <c r="I322" s="507" t="s">
        <v>13</v>
      </c>
    </row>
    <row r="323" spans="2:9" ht="29.5" thickBot="1">
      <c r="B323" s="281">
        <v>46293</v>
      </c>
      <c r="C323" s="508" t="s">
        <v>722</v>
      </c>
      <c r="D323" s="246">
        <v>2.2799999999999998</v>
      </c>
      <c r="E323" s="244">
        <v>2219.65</v>
      </c>
      <c r="F323" s="150"/>
      <c r="G323" s="150"/>
      <c r="H323" s="153">
        <f>H322-E323</f>
        <v>3348524.3760000016</v>
      </c>
      <c r="I323" s="507" t="s">
        <v>13</v>
      </c>
    </row>
    <row r="324" spans="2:9" ht="15" thickBot="1">
      <c r="B324" s="69">
        <v>46294</v>
      </c>
      <c r="C324" s="70" t="s">
        <v>723</v>
      </c>
      <c r="D324" s="72"/>
      <c r="E324" s="73"/>
      <c r="F324" s="381">
        <v>4923.0200000000004</v>
      </c>
      <c r="G324" s="72">
        <v>4794665.13</v>
      </c>
      <c r="H324" s="74">
        <f>H323+G324</f>
        <v>8143189.506000001</v>
      </c>
      <c r="I324" s="75" t="s">
        <v>10</v>
      </c>
    </row>
    <row r="325" spans="2:9" ht="15" thickBot="1">
      <c r="B325" s="69">
        <v>46294</v>
      </c>
      <c r="C325" s="70" t="s">
        <v>724</v>
      </c>
      <c r="D325" s="72"/>
      <c r="E325" s="73"/>
      <c r="F325" s="70">
        <v>35.43</v>
      </c>
      <c r="G325" s="72">
        <v>34503.839999999997</v>
      </c>
      <c r="H325" s="74">
        <f>H324+G325</f>
        <v>8177693.3460000008</v>
      </c>
      <c r="I325" s="75" t="s">
        <v>13</v>
      </c>
    </row>
    <row r="326" spans="2:9" ht="15" thickBot="1">
      <c r="B326" s="69">
        <v>46294</v>
      </c>
      <c r="C326" s="70" t="s">
        <v>706</v>
      </c>
      <c r="D326" s="72"/>
      <c r="E326" s="73"/>
      <c r="F326" s="70">
        <v>17.690000000000001</v>
      </c>
      <c r="G326" s="72">
        <v>17232.52</v>
      </c>
      <c r="H326" s="74">
        <f>H325+G326</f>
        <v>8194925.8660000004</v>
      </c>
      <c r="I326" s="75" t="s">
        <v>13</v>
      </c>
    </row>
    <row r="327" spans="2:9" ht="15" thickBot="1">
      <c r="B327" s="69">
        <v>46294</v>
      </c>
      <c r="C327" s="70" t="s">
        <v>725</v>
      </c>
      <c r="D327" s="72"/>
      <c r="E327" s="73"/>
      <c r="F327" s="70">
        <v>2.9</v>
      </c>
      <c r="G327" s="72">
        <v>2821.93</v>
      </c>
      <c r="H327" s="74">
        <f>H326+G327</f>
        <v>8197747.7960000001</v>
      </c>
      <c r="I327" s="75" t="s">
        <v>13</v>
      </c>
    </row>
    <row r="328" spans="2:9" ht="15" thickBot="1">
      <c r="B328" s="281">
        <v>46294</v>
      </c>
      <c r="C328" s="492" t="s">
        <v>309</v>
      </c>
      <c r="D328" s="246">
        <v>0.53</v>
      </c>
      <c r="E328" s="244">
        <v>517.54999999999995</v>
      </c>
      <c r="F328" s="150"/>
      <c r="G328" s="150"/>
      <c r="H328" s="153">
        <f>H327-E328</f>
        <v>8197230.2460000003</v>
      </c>
      <c r="I328" s="507" t="s">
        <v>25</v>
      </c>
    </row>
    <row r="329" spans="2:9" ht="15" thickBot="1">
      <c r="B329" s="69">
        <v>46294</v>
      </c>
      <c r="C329" s="70" t="s">
        <v>726</v>
      </c>
      <c r="D329" s="72"/>
      <c r="E329" s="73"/>
      <c r="F329" s="70">
        <v>0.52</v>
      </c>
      <c r="G329" s="70">
        <v>503.92</v>
      </c>
      <c r="H329" s="74">
        <f>H328+G329</f>
        <v>8197734.1660000002</v>
      </c>
      <c r="I329" s="75" t="s">
        <v>13</v>
      </c>
    </row>
    <row r="330" spans="2:9" ht="15" thickBot="1">
      <c r="B330" s="281">
        <v>46294</v>
      </c>
      <c r="C330" s="492" t="s">
        <v>309</v>
      </c>
      <c r="D330" s="246"/>
      <c r="E330" s="244">
        <v>258.48</v>
      </c>
      <c r="F330" s="150"/>
      <c r="G330" s="150"/>
      <c r="H330" s="153">
        <f>H329-E330</f>
        <v>8197475.6859999998</v>
      </c>
      <c r="I330" s="507" t="s">
        <v>25</v>
      </c>
    </row>
    <row r="331" spans="2:9" ht="15" thickBot="1">
      <c r="B331" s="281">
        <v>46294</v>
      </c>
      <c r="C331" s="492" t="s">
        <v>309</v>
      </c>
      <c r="D331" s="246"/>
      <c r="E331" s="244">
        <v>42.32</v>
      </c>
      <c r="F331" s="150"/>
      <c r="G331" s="150"/>
      <c r="H331" s="153">
        <f t="shared" ref="H331:H332" si="26">H330-E331</f>
        <v>8197433.3659999995</v>
      </c>
      <c r="I331" s="507" t="s">
        <v>25</v>
      </c>
    </row>
    <row r="332" spans="2:9" ht="15" thickBot="1">
      <c r="B332" s="281">
        <v>46294</v>
      </c>
      <c r="C332" s="492" t="s">
        <v>309</v>
      </c>
      <c r="D332" s="246"/>
      <c r="E332" s="244">
        <v>7.55</v>
      </c>
      <c r="F332" s="150"/>
      <c r="G332" s="150"/>
      <c r="H332" s="153">
        <f t="shared" si="26"/>
        <v>8197425.8159999996</v>
      </c>
      <c r="I332" s="507" t="s">
        <v>25</v>
      </c>
    </row>
    <row r="333" spans="2:9" ht="15" thickBot="1">
      <c r="B333" s="69">
        <v>46294</v>
      </c>
      <c r="C333" s="70" t="s">
        <v>727</v>
      </c>
      <c r="D333" s="72"/>
      <c r="E333" s="73"/>
      <c r="F333" s="70">
        <v>11.64</v>
      </c>
      <c r="G333" s="72">
        <v>11332.1</v>
      </c>
      <c r="H333" s="74">
        <f>H332+G333</f>
        <v>8208757.9159999993</v>
      </c>
      <c r="I333" s="75" t="s">
        <v>10</v>
      </c>
    </row>
    <row r="334" spans="2:9" ht="15" thickBot="1">
      <c r="B334" s="69">
        <v>46295</v>
      </c>
      <c r="C334" s="70" t="s">
        <v>728</v>
      </c>
      <c r="D334" s="72"/>
      <c r="E334" s="73"/>
      <c r="F334" s="70">
        <v>44.15</v>
      </c>
      <c r="G334" s="72">
        <v>42997.88</v>
      </c>
      <c r="H334" s="74">
        <f>H333+G334</f>
        <v>8251755.7959999992</v>
      </c>
      <c r="I334" s="75" t="s">
        <v>13</v>
      </c>
    </row>
    <row r="335" spans="2:9" ht="15" thickBot="1">
      <c r="B335" s="69">
        <v>46295</v>
      </c>
      <c r="C335" s="70" t="s">
        <v>729</v>
      </c>
      <c r="D335" s="72"/>
      <c r="E335" s="73"/>
      <c r="F335" s="70">
        <v>41.62</v>
      </c>
      <c r="G335" s="72">
        <v>40536.722999999998</v>
      </c>
      <c r="H335" s="74">
        <f t="shared" ref="H335:H336" si="27">H334+G335</f>
        <v>8292292.5189999994</v>
      </c>
      <c r="I335" s="75" t="s">
        <v>13</v>
      </c>
    </row>
    <row r="336" spans="2:9" ht="15" thickBot="1">
      <c r="B336" s="69">
        <v>46295</v>
      </c>
      <c r="C336" s="70" t="s">
        <v>715</v>
      </c>
      <c r="D336" s="72"/>
      <c r="E336" s="73"/>
      <c r="F336" s="70">
        <v>23.54</v>
      </c>
      <c r="G336" s="72">
        <v>22925.26</v>
      </c>
      <c r="H336" s="74">
        <f t="shared" si="27"/>
        <v>8315217.7789999992</v>
      </c>
      <c r="I336" s="75" t="s">
        <v>13</v>
      </c>
    </row>
    <row r="337" spans="2:10" ht="15" thickBot="1">
      <c r="B337" s="281">
        <v>46295</v>
      </c>
      <c r="C337" s="492" t="s">
        <v>309</v>
      </c>
      <c r="D337" s="246">
        <v>0.66</v>
      </c>
      <c r="E337" s="244">
        <v>644.96</v>
      </c>
      <c r="F337" s="150"/>
      <c r="G337" s="150"/>
      <c r="H337" s="153">
        <f>H336-E337</f>
        <v>8314572.8189999992</v>
      </c>
      <c r="I337" s="507" t="s">
        <v>730</v>
      </c>
    </row>
    <row r="338" spans="2:10" ht="15" thickBot="1">
      <c r="B338" s="281">
        <v>46295</v>
      </c>
      <c r="C338" s="492" t="s">
        <v>309</v>
      </c>
      <c r="D338" s="246">
        <v>0.62</v>
      </c>
      <c r="E338" s="244">
        <v>608.04999999999995</v>
      </c>
      <c r="F338" s="150"/>
      <c r="G338" s="150"/>
      <c r="H338" s="153">
        <f t="shared" ref="H338:H352" si="28">H337-E338</f>
        <v>8313964.7689999994</v>
      </c>
      <c r="I338" s="507" t="s">
        <v>730</v>
      </c>
    </row>
    <row r="339" spans="2:10" ht="15" thickBot="1">
      <c r="B339" s="281">
        <v>46295</v>
      </c>
      <c r="C339" s="492" t="s">
        <v>309</v>
      </c>
      <c r="D339" s="246">
        <v>0.35</v>
      </c>
      <c r="E339" s="244">
        <v>343.87</v>
      </c>
      <c r="F339" s="150"/>
      <c r="G339" s="150"/>
      <c r="H339" s="153">
        <f t="shared" si="28"/>
        <v>8313620.8989999993</v>
      </c>
      <c r="I339" s="507" t="s">
        <v>730</v>
      </c>
    </row>
    <row r="340" spans="2:10" ht="15" thickBot="1">
      <c r="B340" s="281">
        <v>46295</v>
      </c>
      <c r="C340" s="506" t="s">
        <v>731</v>
      </c>
      <c r="D340" s="246">
        <v>35.409999999999997</v>
      </c>
      <c r="E340" s="244">
        <v>34482.79</v>
      </c>
      <c r="F340" s="150"/>
      <c r="G340" s="150"/>
      <c r="H340" s="153">
        <f t="shared" si="28"/>
        <v>8279138.1089999992</v>
      </c>
      <c r="I340" s="507" t="s">
        <v>13</v>
      </c>
    </row>
    <row r="341" spans="2:10" ht="29.5" thickBot="1">
      <c r="B341" s="281">
        <v>46295</v>
      </c>
      <c r="C341" s="508" t="s">
        <v>732</v>
      </c>
      <c r="D341" s="246">
        <v>3726.88</v>
      </c>
      <c r="E341" s="244">
        <v>3629715.32</v>
      </c>
      <c r="F341" s="150"/>
      <c r="G341" s="150"/>
      <c r="H341" s="153">
        <f t="shared" si="28"/>
        <v>4649422.7889999989</v>
      </c>
      <c r="I341" s="507" t="s">
        <v>10</v>
      </c>
    </row>
    <row r="342" spans="2:10" ht="15" thickBot="1">
      <c r="B342" s="281">
        <v>46295</v>
      </c>
      <c r="C342" s="506" t="s">
        <v>70</v>
      </c>
      <c r="D342" s="246">
        <v>11.18</v>
      </c>
      <c r="E342" s="244">
        <v>10889.14</v>
      </c>
      <c r="F342" s="150"/>
      <c r="G342" s="150"/>
      <c r="H342" s="153">
        <f t="shared" si="28"/>
        <v>4638533.6489999993</v>
      </c>
      <c r="I342" s="507" t="s">
        <v>25</v>
      </c>
    </row>
    <row r="343" spans="2:10" ht="29.5" thickBot="1">
      <c r="B343" s="281">
        <v>46295</v>
      </c>
      <c r="C343" s="508" t="s">
        <v>733</v>
      </c>
      <c r="D343" s="246">
        <v>179.85</v>
      </c>
      <c r="E343" s="244">
        <v>175163.53</v>
      </c>
      <c r="F343" s="150"/>
      <c r="G343" s="150"/>
      <c r="H343" s="153">
        <f t="shared" si="28"/>
        <v>4463370.118999999</v>
      </c>
      <c r="I343" s="507" t="s">
        <v>10</v>
      </c>
    </row>
    <row r="344" spans="2:10" ht="15" thickBot="1">
      <c r="B344" s="281">
        <v>46295</v>
      </c>
      <c r="C344" s="506" t="s">
        <v>70</v>
      </c>
      <c r="D344" s="246">
        <v>0.54</v>
      </c>
      <c r="E344" s="244">
        <v>525.49</v>
      </c>
      <c r="F344" s="150"/>
      <c r="G344" s="150"/>
      <c r="H344" s="153">
        <f t="shared" si="28"/>
        <v>4462844.6289999988</v>
      </c>
      <c r="I344" s="507" t="s">
        <v>25</v>
      </c>
    </row>
    <row r="345" spans="2:10" ht="29.5" thickBot="1">
      <c r="B345" s="281">
        <v>46295</v>
      </c>
      <c r="C345" s="508" t="s">
        <v>734</v>
      </c>
      <c r="D345" s="246">
        <v>2557.85</v>
      </c>
      <c r="E345" s="244">
        <v>2491158</v>
      </c>
      <c r="F345" s="150"/>
      <c r="G345" s="150"/>
      <c r="H345" s="153">
        <f t="shared" si="28"/>
        <v>1971686.6289999988</v>
      </c>
      <c r="I345" s="507" t="s">
        <v>10</v>
      </c>
    </row>
    <row r="346" spans="2:10" ht="15" thickBot="1">
      <c r="B346" s="281">
        <v>46295</v>
      </c>
      <c r="C346" s="506" t="s">
        <v>735</v>
      </c>
      <c r="D346" s="246">
        <v>101.44</v>
      </c>
      <c r="E346" s="244">
        <v>98792.23</v>
      </c>
      <c r="F346" s="150"/>
      <c r="G346" s="150"/>
      <c r="H346" s="153">
        <f t="shared" si="28"/>
        <v>1872894.3989999988</v>
      </c>
      <c r="I346" s="507" t="s">
        <v>10</v>
      </c>
    </row>
    <row r="347" spans="2:10" ht="15" thickBot="1">
      <c r="B347" s="281">
        <v>46295</v>
      </c>
      <c r="C347" s="506" t="s">
        <v>70</v>
      </c>
      <c r="D347" s="246">
        <v>0.34</v>
      </c>
      <c r="E347" s="244">
        <v>296.37</v>
      </c>
      <c r="F347" s="150"/>
      <c r="G347" s="150"/>
      <c r="H347" s="153">
        <f t="shared" si="28"/>
        <v>1872598.0289999987</v>
      </c>
      <c r="I347" s="507" t="s">
        <v>25</v>
      </c>
    </row>
    <row r="348" spans="2:10" ht="29.5" thickBot="1">
      <c r="B348" s="281">
        <v>46295</v>
      </c>
      <c r="C348" s="510" t="s">
        <v>736</v>
      </c>
      <c r="D348" s="246">
        <v>132</v>
      </c>
      <c r="E348" s="244">
        <v>113396.3</v>
      </c>
      <c r="F348" s="150"/>
      <c r="G348" s="150"/>
      <c r="H348" s="153">
        <f t="shared" si="28"/>
        <v>1759201.7289999987</v>
      </c>
      <c r="I348" s="507" t="s">
        <v>10</v>
      </c>
    </row>
    <row r="349" spans="2:10" ht="15" thickBot="1">
      <c r="B349" s="281">
        <v>46295</v>
      </c>
      <c r="C349" s="506" t="s">
        <v>70</v>
      </c>
      <c r="D349" s="246">
        <v>0.35</v>
      </c>
      <c r="E349" s="244">
        <v>340.18</v>
      </c>
      <c r="F349" s="150"/>
      <c r="G349" s="150"/>
      <c r="H349" s="153">
        <f t="shared" si="28"/>
        <v>1758861.5489999987</v>
      </c>
      <c r="I349" s="507" t="s">
        <v>25</v>
      </c>
    </row>
    <row r="350" spans="2:10" ht="15" thickBot="1">
      <c r="B350" s="281">
        <v>46295</v>
      </c>
      <c r="C350" s="536" t="s">
        <v>47</v>
      </c>
      <c r="D350" s="246">
        <v>6.97</v>
      </c>
      <c r="E350" s="246">
        <v>6839</v>
      </c>
      <c r="F350" s="246"/>
      <c r="G350" s="150"/>
      <c r="H350" s="153">
        <f t="shared" si="28"/>
        <v>1752022.5489999987</v>
      </c>
      <c r="I350" s="507" t="s">
        <v>25</v>
      </c>
    </row>
    <row r="351" spans="2:10" ht="15" thickBot="1">
      <c r="B351" s="281">
        <v>46295</v>
      </c>
      <c r="C351" s="536" t="s">
        <v>73</v>
      </c>
      <c r="D351" s="246">
        <v>0.06</v>
      </c>
      <c r="E351" s="246">
        <v>54</v>
      </c>
      <c r="F351" s="246"/>
      <c r="G351" s="150"/>
      <c r="H351" s="153">
        <f t="shared" si="28"/>
        <v>1751968.5489999987</v>
      </c>
      <c r="I351" s="507" t="s">
        <v>25</v>
      </c>
      <c r="J351" s="265"/>
    </row>
    <row r="352" spans="2:10" ht="15" thickBot="1">
      <c r="B352" s="281">
        <v>46295</v>
      </c>
      <c r="C352" s="536" t="s">
        <v>820</v>
      </c>
      <c r="D352" s="371">
        <v>0.06</v>
      </c>
      <c r="E352" s="246">
        <v>54</v>
      </c>
      <c r="F352" s="246"/>
      <c r="G352" s="150"/>
      <c r="H352" s="153">
        <f t="shared" si="28"/>
        <v>1751914.5489999987</v>
      </c>
      <c r="I352" s="507" t="s">
        <v>25</v>
      </c>
      <c r="J352" s="265"/>
    </row>
    <row r="353" spans="2:10" ht="15" thickBot="1">
      <c r="B353" s="551">
        <v>46295</v>
      </c>
      <c r="C353" s="552" t="s">
        <v>821</v>
      </c>
      <c r="D353" s="547"/>
      <c r="E353" s="546"/>
      <c r="F353" s="72">
        <v>19.05</v>
      </c>
      <c r="G353" s="72">
        <v>18682.14</v>
      </c>
      <c r="H353" s="74">
        <f>H352+G353</f>
        <v>1770596.6889999986</v>
      </c>
      <c r="I353" s="507" t="s">
        <v>25</v>
      </c>
      <c r="J353" s="265"/>
    </row>
    <row r="354" spans="2:10" ht="21.5" thickBot="1">
      <c r="B354" s="281"/>
      <c r="C354" s="553" t="s">
        <v>95</v>
      </c>
      <c r="D354" s="550">
        <f>SUM(D4:D352)</f>
        <v>32503.313000000002</v>
      </c>
      <c r="E354" s="548">
        <f>SUM(E4:E352)</f>
        <v>30830910.144000012</v>
      </c>
      <c r="F354" s="548">
        <f>SUM(F4:F353)</f>
        <v>57682.030000000013</v>
      </c>
      <c r="G354" s="548">
        <f>SUM(G4:G353)</f>
        <v>29053024.483000007</v>
      </c>
      <c r="H354" s="549">
        <v>1770596.69</v>
      </c>
      <c r="I354" s="367"/>
      <c r="J354" s="265"/>
    </row>
    <row r="355" spans="2:10">
      <c r="B355" s="511"/>
      <c r="C355" s="512"/>
      <c r="D355" s="513"/>
      <c r="E355" s="513"/>
      <c r="F355" s="513"/>
      <c r="G355" s="514"/>
      <c r="H355" s="440"/>
      <c r="I355" s="515"/>
      <c r="J355" s="265"/>
    </row>
    <row r="356" spans="2:10">
      <c r="B356" s="511"/>
      <c r="C356" s="512"/>
      <c r="D356" s="513"/>
      <c r="E356" s="513"/>
      <c r="F356" s="513"/>
      <c r="G356" s="514"/>
      <c r="H356" s="440"/>
      <c r="I356" s="515"/>
      <c r="J356" s="265"/>
    </row>
    <row r="357" spans="2:10">
      <c r="B357" s="511"/>
      <c r="C357" s="512"/>
      <c r="D357" s="513"/>
      <c r="E357" s="513"/>
      <c r="F357" s="513"/>
      <c r="G357" s="514"/>
      <c r="H357" s="440"/>
      <c r="I357" s="515"/>
      <c r="J357" s="265"/>
    </row>
    <row r="358" spans="2:10">
      <c r="B358" s="511"/>
      <c r="C358" s="512"/>
      <c r="D358" s="513"/>
      <c r="E358" s="513"/>
      <c r="F358" s="513"/>
      <c r="G358" s="514"/>
      <c r="H358" s="440"/>
      <c r="I358" s="515"/>
      <c r="J358" s="265"/>
    </row>
    <row r="359" spans="2:10">
      <c r="B359" s="511"/>
      <c r="C359" s="512"/>
      <c r="D359" s="513"/>
      <c r="E359" s="513"/>
      <c r="F359" s="514"/>
      <c r="G359" s="514"/>
      <c r="H359" s="440"/>
      <c r="I359" s="515"/>
      <c r="J359" s="265"/>
    </row>
    <row r="360" spans="2:10">
      <c r="B360" s="511"/>
      <c r="C360" s="512"/>
      <c r="D360" s="513"/>
      <c r="E360" s="513"/>
      <c r="F360" s="514"/>
      <c r="G360" s="514"/>
      <c r="H360" s="440"/>
      <c r="I360" s="515"/>
      <c r="J360" s="265"/>
    </row>
    <row r="361" spans="2:10">
      <c r="B361" s="511"/>
      <c r="C361" s="512"/>
      <c r="D361" s="513"/>
      <c r="E361" s="513"/>
      <c r="F361" s="514"/>
      <c r="G361" s="514"/>
      <c r="H361" s="440"/>
      <c r="I361" s="515"/>
      <c r="J361" s="265"/>
    </row>
    <row r="362" spans="2:10">
      <c r="B362" s="511"/>
      <c r="C362" s="512"/>
      <c r="D362" s="513"/>
      <c r="E362" s="513"/>
      <c r="F362" s="514"/>
      <c r="G362" s="514"/>
      <c r="H362" s="440"/>
      <c r="I362" s="515"/>
      <c r="J362" s="265"/>
    </row>
    <row r="363" spans="2:10">
      <c r="B363" s="511"/>
      <c r="C363" s="512"/>
      <c r="D363" s="513"/>
      <c r="E363" s="513"/>
      <c r="F363" s="514"/>
      <c r="G363" s="514"/>
      <c r="H363" s="440"/>
      <c r="I363" s="515"/>
      <c r="J363" s="265"/>
    </row>
    <row r="364" spans="2:10">
      <c r="B364" s="511"/>
      <c r="C364" s="512"/>
      <c r="D364" s="513"/>
      <c r="E364" s="513"/>
      <c r="F364" s="514"/>
      <c r="G364" s="514"/>
      <c r="H364" s="440"/>
      <c r="I364" s="515"/>
      <c r="J364" s="265"/>
    </row>
    <row r="365" spans="2:10">
      <c r="B365" s="265"/>
      <c r="C365" s="265"/>
      <c r="D365" s="265"/>
      <c r="E365" s="265"/>
      <c r="F365" s="265"/>
      <c r="G365" s="265"/>
      <c r="H365" s="265"/>
      <c r="I365" s="265"/>
      <c r="J365" s="265"/>
    </row>
    <row r="366" spans="2:10">
      <c r="B366" s="265"/>
      <c r="C366" s="265"/>
      <c r="D366" s="265"/>
      <c r="E366" s="265"/>
      <c r="F366" s="265"/>
      <c r="G366" s="265"/>
      <c r="H366" s="265"/>
      <c r="I366" s="265"/>
      <c r="J366" s="265"/>
    </row>
    <row r="367" spans="2:10">
      <c r="B367" s="265"/>
      <c r="C367" s="265"/>
      <c r="D367" s="265"/>
      <c r="E367" s="265"/>
      <c r="F367" s="265"/>
      <c r="G367" s="265"/>
      <c r="H367" s="265"/>
      <c r="I367" s="265"/>
      <c r="J367" s="265"/>
    </row>
    <row r="368" spans="2:10">
      <c r="B368" s="265"/>
      <c r="C368" s="265"/>
      <c r="D368" s="265"/>
      <c r="E368" s="265"/>
      <c r="F368" s="265"/>
      <c r="G368" s="265"/>
      <c r="H368" s="265"/>
      <c r="I368" s="265"/>
      <c r="J368" s="265"/>
    </row>
  </sheetData>
  <pageMargins left="0.7" right="0.7" top="0.75" bottom="0.75" header="0.3" footer="0.3"/>
  <pageSetup scale="7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0"/>
  <sheetViews>
    <sheetView topLeftCell="A123" workbookViewId="0">
      <selection activeCell="K84" sqref="K84"/>
    </sheetView>
  </sheetViews>
  <sheetFormatPr baseColWidth="10" defaultRowHeight="14.5"/>
  <cols>
    <col min="2" max="2" width="10.7265625" bestFit="1" customWidth="1"/>
    <col min="3" max="3" width="46.26953125" bestFit="1" customWidth="1"/>
    <col min="4" max="4" width="12.54296875" customWidth="1"/>
    <col min="5" max="5" width="12.54296875" bestFit="1" customWidth="1"/>
    <col min="7" max="7" width="12.54296875" bestFit="1" customWidth="1"/>
    <col min="8" max="8" width="13.54296875" bestFit="1" customWidth="1"/>
    <col min="9" max="9" width="15.453125" bestFit="1" customWidth="1"/>
  </cols>
  <sheetData>
    <row r="1" spans="2:9" ht="15" thickBot="1"/>
    <row r="2" spans="2:9" ht="79.5" customHeight="1" thickBot="1">
      <c r="B2" s="1"/>
      <c r="C2" s="2"/>
      <c r="D2" s="2" t="s">
        <v>75</v>
      </c>
      <c r="E2" s="2"/>
      <c r="F2" s="2"/>
      <c r="G2" s="2"/>
      <c r="H2" s="2" t="s">
        <v>401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46296</v>
      </c>
      <c r="C4" s="70" t="s">
        <v>717</v>
      </c>
      <c r="D4" s="358"/>
      <c r="E4" s="70"/>
      <c r="F4" s="358"/>
      <c r="G4" s="72">
        <v>31476.85</v>
      </c>
      <c r="H4" s="74">
        <v>1802073.54</v>
      </c>
      <c r="I4" s="359" t="s">
        <v>13</v>
      </c>
    </row>
    <row r="5" spans="2:9" ht="15" thickBot="1">
      <c r="B5" s="69">
        <v>46296</v>
      </c>
      <c r="C5" s="70" t="s">
        <v>749</v>
      </c>
      <c r="D5" s="358"/>
      <c r="E5" s="72"/>
      <c r="F5" s="72"/>
      <c r="G5" s="72">
        <v>22892.26</v>
      </c>
      <c r="H5" s="74">
        <f>H4+G5</f>
        <v>1824965.8</v>
      </c>
      <c r="I5" s="359" t="s">
        <v>13</v>
      </c>
    </row>
    <row r="6" spans="2:9" ht="15" thickBot="1">
      <c r="B6" s="454">
        <v>46296</v>
      </c>
      <c r="C6" s="492" t="s">
        <v>309</v>
      </c>
      <c r="D6" s="244"/>
      <c r="E6" s="246">
        <v>472.15</v>
      </c>
      <c r="F6" s="453"/>
      <c r="G6" s="452"/>
      <c r="H6" s="245">
        <f t="shared" ref="H6:H12" si="0">H5-E6</f>
        <v>1824493.6500000001</v>
      </c>
      <c r="I6" s="527" t="s">
        <v>25</v>
      </c>
    </row>
    <row r="7" spans="2:9" ht="15" thickBot="1">
      <c r="B7" s="454">
        <v>46296</v>
      </c>
      <c r="C7" s="492" t="s">
        <v>309</v>
      </c>
      <c r="D7" s="247"/>
      <c r="E7" s="247">
        <v>343.38</v>
      </c>
      <c r="F7" s="234"/>
      <c r="G7" s="357"/>
      <c r="H7" s="245">
        <f t="shared" si="0"/>
        <v>1824150.2700000003</v>
      </c>
      <c r="I7" s="527" t="s">
        <v>25</v>
      </c>
    </row>
    <row r="8" spans="2:9" ht="15" thickBot="1">
      <c r="B8" s="529">
        <v>46296</v>
      </c>
      <c r="C8" s="530" t="s">
        <v>751</v>
      </c>
      <c r="D8" s="247">
        <v>79.23</v>
      </c>
      <c r="E8" s="246">
        <v>78098.5</v>
      </c>
      <c r="F8" s="528"/>
      <c r="G8" s="452"/>
      <c r="H8" s="245">
        <f t="shared" si="0"/>
        <v>1746051.7700000003</v>
      </c>
      <c r="I8" s="531" t="s">
        <v>13</v>
      </c>
    </row>
    <row r="9" spans="2:9" ht="15" thickBot="1">
      <c r="B9" s="529">
        <v>46296</v>
      </c>
      <c r="C9" s="532" t="s">
        <v>752</v>
      </c>
      <c r="D9" s="24">
        <v>9.6</v>
      </c>
      <c r="E9" s="235">
        <v>9459.2199999999993</v>
      </c>
      <c r="F9" s="234"/>
      <c r="G9" s="234"/>
      <c r="H9" s="245">
        <f t="shared" si="0"/>
        <v>1736592.5500000003</v>
      </c>
      <c r="I9" s="531" t="s">
        <v>13</v>
      </c>
    </row>
    <row r="10" spans="2:9" ht="15" thickBot="1">
      <c r="B10" s="454">
        <v>46296</v>
      </c>
      <c r="C10" s="530" t="s">
        <v>750</v>
      </c>
      <c r="D10" s="246">
        <v>7.76</v>
      </c>
      <c r="E10" s="277">
        <v>7647</v>
      </c>
      <c r="F10" s="458"/>
      <c r="G10" s="459"/>
      <c r="H10" s="245">
        <f t="shared" si="0"/>
        <v>1728945.5500000003</v>
      </c>
      <c r="I10" s="531" t="s">
        <v>13</v>
      </c>
    </row>
    <row r="11" spans="2:9" ht="15" thickBot="1">
      <c r="B11" s="454">
        <v>46296</v>
      </c>
      <c r="C11" s="530" t="s">
        <v>753</v>
      </c>
      <c r="D11" s="246">
        <v>2.52</v>
      </c>
      <c r="E11" s="246">
        <v>2486.25</v>
      </c>
      <c r="F11" s="458"/>
      <c r="G11" s="459"/>
      <c r="H11" s="245">
        <f t="shared" si="0"/>
        <v>1726459.3000000003</v>
      </c>
      <c r="I11" s="531" t="s">
        <v>13</v>
      </c>
    </row>
    <row r="12" spans="2:9" ht="15" thickBot="1">
      <c r="B12" s="454">
        <v>46296</v>
      </c>
      <c r="C12" s="530" t="s">
        <v>754</v>
      </c>
      <c r="D12" s="246">
        <v>1.52</v>
      </c>
      <c r="E12" s="461">
        <v>1500</v>
      </c>
      <c r="F12" s="452"/>
      <c r="G12" s="460"/>
      <c r="H12" s="245">
        <f t="shared" si="0"/>
        <v>1724959.3000000003</v>
      </c>
      <c r="I12" s="531" t="s">
        <v>13</v>
      </c>
    </row>
    <row r="13" spans="2:9" ht="15" thickBot="1">
      <c r="B13" s="69">
        <v>46296</v>
      </c>
      <c r="C13" s="70" t="s">
        <v>755</v>
      </c>
      <c r="D13" s="72"/>
      <c r="E13" s="73"/>
      <c r="F13" s="70">
        <v>920.76</v>
      </c>
      <c r="G13" s="72">
        <v>907616.43</v>
      </c>
      <c r="H13" s="74">
        <f>H12+G13</f>
        <v>2632575.7300000004</v>
      </c>
      <c r="I13" s="359" t="s">
        <v>10</v>
      </c>
    </row>
    <row r="14" spans="2:9" ht="15" thickBot="1">
      <c r="B14" s="69">
        <v>46296</v>
      </c>
      <c r="C14" s="70" t="s">
        <v>756</v>
      </c>
      <c r="D14" s="72"/>
      <c r="E14" s="73"/>
      <c r="F14" s="70">
        <v>201.44</v>
      </c>
      <c r="G14" s="72">
        <v>198563.19</v>
      </c>
      <c r="H14" s="74">
        <f>H13+G14</f>
        <v>2831138.9200000004</v>
      </c>
      <c r="I14" s="359" t="s">
        <v>10</v>
      </c>
    </row>
    <row r="15" spans="2:9" ht="15" thickBot="1">
      <c r="B15" s="69">
        <v>46297</v>
      </c>
      <c r="C15" s="70" t="s">
        <v>749</v>
      </c>
      <c r="D15" s="72"/>
      <c r="E15" s="73"/>
      <c r="F15" s="70"/>
      <c r="G15" s="72">
        <v>31591.01</v>
      </c>
      <c r="H15" s="74">
        <f t="shared" ref="H15:H16" si="1">H14+G15</f>
        <v>2862729.93</v>
      </c>
      <c r="I15" s="359" t="s">
        <v>13</v>
      </c>
    </row>
    <row r="16" spans="2:9" ht="15" thickBot="1">
      <c r="B16" s="69">
        <v>46297</v>
      </c>
      <c r="C16" s="70" t="s">
        <v>749</v>
      </c>
      <c r="D16" s="72"/>
      <c r="E16" s="73"/>
      <c r="F16" s="72"/>
      <c r="G16" s="72">
        <v>11487.64</v>
      </c>
      <c r="H16" s="74">
        <f t="shared" si="1"/>
        <v>2874217.5700000003</v>
      </c>
      <c r="I16" s="75" t="s">
        <v>13</v>
      </c>
    </row>
    <row r="17" spans="2:9" ht="15" thickBot="1">
      <c r="B17" s="529">
        <v>46297</v>
      </c>
      <c r="C17" s="492" t="s">
        <v>309</v>
      </c>
      <c r="D17" s="246">
        <v>0.48</v>
      </c>
      <c r="E17" s="244">
        <v>473.86</v>
      </c>
      <c r="F17" s="452"/>
      <c r="G17" s="452"/>
      <c r="H17" s="245">
        <f t="shared" ref="H17:H23" si="2">H16-E17</f>
        <v>2873743.7100000004</v>
      </c>
      <c r="I17" s="533" t="s">
        <v>25</v>
      </c>
    </row>
    <row r="18" spans="2:9" ht="15" thickBot="1">
      <c r="B18" s="529">
        <v>46297</v>
      </c>
      <c r="C18" s="492" t="s">
        <v>309</v>
      </c>
      <c r="D18" s="246">
        <v>0.17</v>
      </c>
      <c r="E18" s="244">
        <v>172.31</v>
      </c>
      <c r="F18" s="236"/>
      <c r="G18" s="236"/>
      <c r="H18" s="245">
        <f t="shared" si="2"/>
        <v>2873571.4000000004</v>
      </c>
      <c r="I18" s="533" t="s">
        <v>25</v>
      </c>
    </row>
    <row r="19" spans="2:9" ht="15" thickBot="1">
      <c r="B19" s="529" t="s">
        <v>760</v>
      </c>
      <c r="C19" s="530" t="s">
        <v>761</v>
      </c>
      <c r="D19" s="246">
        <v>18.29</v>
      </c>
      <c r="E19" s="244">
        <v>18024.439999999999</v>
      </c>
      <c r="F19" s="236"/>
      <c r="G19" s="236"/>
      <c r="H19" s="245">
        <f t="shared" si="2"/>
        <v>2855546.9600000004</v>
      </c>
      <c r="I19" s="533"/>
    </row>
    <row r="20" spans="2:9" ht="17.25" customHeight="1" thickBot="1">
      <c r="B20" s="529">
        <v>46297</v>
      </c>
      <c r="C20" s="534" t="s">
        <v>757</v>
      </c>
      <c r="D20" s="246">
        <v>603.42999999999995</v>
      </c>
      <c r="E20" s="244">
        <v>594816.27</v>
      </c>
      <c r="F20" s="150"/>
      <c r="G20" s="150"/>
      <c r="H20" s="245">
        <f t="shared" si="2"/>
        <v>2260730.6900000004</v>
      </c>
      <c r="I20" s="533" t="s">
        <v>10</v>
      </c>
    </row>
    <row r="21" spans="2:9" ht="15" thickBot="1">
      <c r="B21" s="529">
        <v>46297</v>
      </c>
      <c r="C21" s="530" t="s">
        <v>31</v>
      </c>
      <c r="D21" s="246">
        <v>1.81</v>
      </c>
      <c r="E21" s="244">
        <v>1784.44</v>
      </c>
      <c r="F21" s="150"/>
      <c r="G21" s="150"/>
      <c r="H21" s="245">
        <f t="shared" si="2"/>
        <v>2258946.2500000005</v>
      </c>
      <c r="I21" s="533" t="s">
        <v>25</v>
      </c>
    </row>
    <row r="22" spans="2:9" ht="29.5" thickBot="1">
      <c r="B22" s="529">
        <v>46297</v>
      </c>
      <c r="C22" s="532" t="s">
        <v>758</v>
      </c>
      <c r="D22" s="246">
        <v>517.38</v>
      </c>
      <c r="E22" s="244">
        <v>510000</v>
      </c>
      <c r="F22" s="150"/>
      <c r="G22" s="150"/>
      <c r="H22" s="245">
        <f t="shared" si="2"/>
        <v>1748946.2500000005</v>
      </c>
      <c r="I22" s="533" t="s">
        <v>10</v>
      </c>
    </row>
    <row r="23" spans="2:9" ht="15" thickBot="1">
      <c r="B23" s="529">
        <v>46297</v>
      </c>
      <c r="C23" s="530" t="s">
        <v>31</v>
      </c>
      <c r="D23" s="246">
        <v>1.55</v>
      </c>
      <c r="E23" s="244">
        <v>1530</v>
      </c>
      <c r="F23" s="150"/>
      <c r="G23" s="150"/>
      <c r="H23" s="245">
        <f t="shared" si="2"/>
        <v>1747416.2500000005</v>
      </c>
      <c r="I23" s="533" t="s">
        <v>25</v>
      </c>
    </row>
    <row r="24" spans="2:9" ht="15" thickBot="1">
      <c r="B24" s="69">
        <v>46298</v>
      </c>
      <c r="C24" s="70" t="s">
        <v>759</v>
      </c>
      <c r="D24" s="72"/>
      <c r="E24" s="73"/>
      <c r="F24" s="70">
        <v>41.54</v>
      </c>
      <c r="G24" s="72">
        <v>40942.370000000003</v>
      </c>
      <c r="H24" s="74">
        <f>H23+G24</f>
        <v>1788358.6200000006</v>
      </c>
      <c r="I24" s="75" t="s">
        <v>13</v>
      </c>
    </row>
    <row r="25" spans="2:9" ht="15" thickBot="1">
      <c r="B25" s="69">
        <v>46298</v>
      </c>
      <c r="C25" s="70" t="s">
        <v>719</v>
      </c>
      <c r="D25" s="72"/>
      <c r="E25" s="73"/>
      <c r="F25" s="70">
        <v>20.329999999999998</v>
      </c>
      <c r="G25" s="72">
        <v>20043.419999999998</v>
      </c>
      <c r="H25" s="74">
        <f>H24+G25</f>
        <v>1808402.0400000005</v>
      </c>
      <c r="I25" s="75" t="s">
        <v>13</v>
      </c>
    </row>
    <row r="26" spans="2:9" ht="15" thickBot="1">
      <c r="B26" s="529">
        <v>46298</v>
      </c>
      <c r="C26" s="492" t="s">
        <v>309</v>
      </c>
      <c r="D26" s="246">
        <v>0.62</v>
      </c>
      <c r="E26" s="244">
        <v>614.13</v>
      </c>
      <c r="F26" s="150"/>
      <c r="G26" s="150"/>
      <c r="H26" s="245">
        <f>H25-E26</f>
        <v>1807787.9100000006</v>
      </c>
      <c r="I26" s="533" t="s">
        <v>25</v>
      </c>
    </row>
    <row r="27" spans="2:9" ht="15" thickBot="1">
      <c r="B27" s="529">
        <v>46298</v>
      </c>
      <c r="C27" s="492" t="s">
        <v>309</v>
      </c>
      <c r="D27" s="246">
        <v>0.31</v>
      </c>
      <c r="E27" s="244">
        <v>300.64999999999998</v>
      </c>
      <c r="F27" s="150"/>
      <c r="G27" s="150"/>
      <c r="H27" s="245">
        <f>H26-E27</f>
        <v>1807487.2600000007</v>
      </c>
      <c r="I27" s="533" t="s">
        <v>25</v>
      </c>
    </row>
    <row r="28" spans="2:9" ht="15" thickBot="1">
      <c r="B28" s="529">
        <v>46298</v>
      </c>
      <c r="C28" s="532" t="s">
        <v>753</v>
      </c>
      <c r="D28" s="246">
        <v>1.59</v>
      </c>
      <c r="E28" s="244">
        <v>1568.47</v>
      </c>
      <c r="F28" s="150"/>
      <c r="G28" s="150"/>
      <c r="H28" s="245">
        <f>H27-E28</f>
        <v>1805918.7900000007</v>
      </c>
      <c r="I28" s="533" t="s">
        <v>13</v>
      </c>
    </row>
    <row r="29" spans="2:9" ht="15" thickBot="1">
      <c r="B29" s="69">
        <v>46299</v>
      </c>
      <c r="C29" s="70" t="s">
        <v>762</v>
      </c>
      <c r="D29" s="72"/>
      <c r="E29" s="73"/>
      <c r="F29" s="70">
        <v>38</v>
      </c>
      <c r="G29" s="72">
        <v>37458.050000000003</v>
      </c>
      <c r="H29" s="74">
        <f>H28+G29</f>
        <v>1843376.8400000008</v>
      </c>
      <c r="I29" s="75" t="s">
        <v>13</v>
      </c>
    </row>
    <row r="30" spans="2:9" ht="15" thickBot="1">
      <c r="B30" s="69">
        <v>46299</v>
      </c>
      <c r="C30" s="70" t="s">
        <v>724</v>
      </c>
      <c r="D30" s="72"/>
      <c r="E30" s="73"/>
      <c r="F30" s="70">
        <v>29.18</v>
      </c>
      <c r="G30" s="72">
        <v>28761.4</v>
      </c>
      <c r="H30" s="74">
        <f>H29+G30</f>
        <v>1872138.2400000007</v>
      </c>
      <c r="I30" s="75" t="s">
        <v>13</v>
      </c>
    </row>
    <row r="31" spans="2:9" ht="15" thickBot="1">
      <c r="B31" s="281">
        <v>46299</v>
      </c>
      <c r="C31" s="492" t="s">
        <v>309</v>
      </c>
      <c r="D31" s="246">
        <v>0.64</v>
      </c>
      <c r="E31" s="244">
        <v>561.87</v>
      </c>
      <c r="F31" s="150"/>
      <c r="G31" s="150"/>
      <c r="H31" s="245">
        <f>H30-E31</f>
        <v>1871576.3700000006</v>
      </c>
      <c r="I31" s="533" t="s">
        <v>25</v>
      </c>
    </row>
    <row r="32" spans="2:9" ht="15" thickBot="1">
      <c r="B32" s="281">
        <v>46299</v>
      </c>
      <c r="C32" s="492" t="s">
        <v>309</v>
      </c>
      <c r="D32" s="246">
        <v>0.49</v>
      </c>
      <c r="E32" s="244">
        <v>431.42</v>
      </c>
      <c r="F32" s="150"/>
      <c r="G32" s="150"/>
      <c r="H32" s="245">
        <f>H31-E32</f>
        <v>1871144.9500000007</v>
      </c>
      <c r="I32" s="533" t="s">
        <v>25</v>
      </c>
    </row>
    <row r="33" spans="2:9" ht="15" thickBot="1">
      <c r="B33" s="69">
        <v>46300</v>
      </c>
      <c r="C33" s="70" t="s">
        <v>728</v>
      </c>
      <c r="D33" s="72"/>
      <c r="E33" s="73"/>
      <c r="F33" s="70"/>
      <c r="G33" s="72">
        <v>14423.35</v>
      </c>
      <c r="H33" s="74">
        <f>H32+G33</f>
        <v>1885568.3000000007</v>
      </c>
      <c r="I33" s="75" t="s">
        <v>13</v>
      </c>
    </row>
    <row r="34" spans="2:9" ht="15" thickBot="1">
      <c r="B34" s="69">
        <v>46300</v>
      </c>
      <c r="C34" s="70" t="s">
        <v>763</v>
      </c>
      <c r="D34" s="72"/>
      <c r="E34" s="73"/>
      <c r="F34" s="70"/>
      <c r="G34" s="72">
        <v>2884.67</v>
      </c>
      <c r="H34" s="74">
        <f>H33+G34</f>
        <v>1888452.9700000007</v>
      </c>
      <c r="I34" s="75" t="s">
        <v>13</v>
      </c>
    </row>
    <row r="35" spans="2:9" ht="15" thickBot="1">
      <c r="B35" s="281">
        <v>46300</v>
      </c>
      <c r="C35" s="492" t="s">
        <v>309</v>
      </c>
      <c r="D35" s="246">
        <v>0.22</v>
      </c>
      <c r="E35" s="244">
        <v>216.35</v>
      </c>
      <c r="F35" s="150"/>
      <c r="G35" s="150"/>
      <c r="H35" s="245">
        <f>H34-E35</f>
        <v>1888236.6200000006</v>
      </c>
      <c r="I35" s="533" t="s">
        <v>25</v>
      </c>
    </row>
    <row r="36" spans="2:9" ht="15" thickBot="1">
      <c r="B36" s="281">
        <v>46300</v>
      </c>
      <c r="C36" s="492" t="s">
        <v>309</v>
      </c>
      <c r="D36" s="246">
        <v>0.04</v>
      </c>
      <c r="E36" s="244">
        <v>43.27</v>
      </c>
      <c r="F36" s="150"/>
      <c r="G36" s="150"/>
      <c r="H36" s="245">
        <f>H35-E36</f>
        <v>1888193.3500000006</v>
      </c>
      <c r="I36" s="533" t="s">
        <v>25</v>
      </c>
    </row>
    <row r="37" spans="2:9" ht="15" thickBot="1">
      <c r="B37" s="281">
        <v>46300</v>
      </c>
      <c r="C37" s="530" t="s">
        <v>764</v>
      </c>
      <c r="D37" s="246">
        <v>0.95</v>
      </c>
      <c r="E37" s="244">
        <v>934.11</v>
      </c>
      <c r="F37" s="150"/>
      <c r="G37" s="150"/>
      <c r="H37" s="245">
        <f>H36-E37</f>
        <v>1887259.2400000005</v>
      </c>
      <c r="I37" s="533" t="s">
        <v>25</v>
      </c>
    </row>
    <row r="38" spans="2:9" ht="15" thickBot="1">
      <c r="B38" s="69">
        <v>46301</v>
      </c>
      <c r="C38" s="70" t="s">
        <v>765</v>
      </c>
      <c r="D38" s="72"/>
      <c r="E38" s="73"/>
      <c r="F38" s="381">
        <v>2307.04</v>
      </c>
      <c r="G38" s="72">
        <v>2274113.71</v>
      </c>
      <c r="H38" s="74">
        <f>H37+G38</f>
        <v>4161372.95</v>
      </c>
      <c r="I38" s="75" t="s">
        <v>10</v>
      </c>
    </row>
    <row r="39" spans="2:9" ht="15" thickBot="1">
      <c r="B39" s="69">
        <v>46301</v>
      </c>
      <c r="C39" s="70" t="s">
        <v>766</v>
      </c>
      <c r="D39" s="72"/>
      <c r="E39" s="73"/>
      <c r="F39" s="70">
        <v>40.97</v>
      </c>
      <c r="G39" s="72">
        <v>40390.269999999997</v>
      </c>
      <c r="H39" s="74">
        <f t="shared" ref="H39:H40" si="3">H38+G39</f>
        <v>4201763.22</v>
      </c>
      <c r="I39" s="75" t="s">
        <v>13</v>
      </c>
    </row>
    <row r="40" spans="2:9" ht="15" thickBot="1">
      <c r="B40" s="69">
        <v>46301</v>
      </c>
      <c r="C40" s="70" t="s">
        <v>749</v>
      </c>
      <c r="D40" s="72"/>
      <c r="E40" s="73"/>
      <c r="F40" s="70">
        <v>35.119999999999997</v>
      </c>
      <c r="G40" s="72">
        <v>34616.04</v>
      </c>
      <c r="H40" s="74">
        <f t="shared" si="3"/>
        <v>4236379.26</v>
      </c>
      <c r="I40" s="75" t="s">
        <v>13</v>
      </c>
    </row>
    <row r="41" spans="2:9" ht="15" thickBot="1">
      <c r="B41" s="281">
        <v>46301</v>
      </c>
      <c r="C41" s="492" t="s">
        <v>309</v>
      </c>
      <c r="D41" s="246">
        <v>0.61</v>
      </c>
      <c r="E41" s="244">
        <v>605.85</v>
      </c>
      <c r="F41" s="150"/>
      <c r="G41" s="150"/>
      <c r="H41" s="245">
        <f>H40-E41</f>
        <v>4235773.41</v>
      </c>
      <c r="I41" s="535" t="s">
        <v>730</v>
      </c>
    </row>
    <row r="42" spans="2:9" ht="15" thickBot="1">
      <c r="B42" s="281">
        <v>46301</v>
      </c>
      <c r="C42" s="492" t="s">
        <v>309</v>
      </c>
      <c r="D42" s="246">
        <v>0.53</v>
      </c>
      <c r="E42" s="244">
        <v>519.24</v>
      </c>
      <c r="F42" s="150"/>
      <c r="G42" s="150"/>
      <c r="H42" s="245">
        <f>H41-E42</f>
        <v>4235254.17</v>
      </c>
      <c r="I42" s="535" t="s">
        <v>25</v>
      </c>
    </row>
    <row r="43" spans="2:9" ht="15" thickBot="1">
      <c r="B43" s="69">
        <v>46301</v>
      </c>
      <c r="C43" s="378" t="s">
        <v>767</v>
      </c>
      <c r="D43" s="72"/>
      <c r="E43" s="73"/>
      <c r="F43" s="381">
        <v>3205.11</v>
      </c>
      <c r="G43" s="72">
        <v>3159368.22</v>
      </c>
      <c r="H43" s="74">
        <f>H42+G43</f>
        <v>7394622.3900000006</v>
      </c>
      <c r="I43" s="75" t="s">
        <v>10</v>
      </c>
    </row>
    <row r="44" spans="2:9" ht="15" thickBot="1">
      <c r="B44" s="69">
        <v>46301</v>
      </c>
      <c r="C44" s="378" t="s">
        <v>768</v>
      </c>
      <c r="D44" s="72"/>
      <c r="E44" s="73"/>
      <c r="F44" s="381">
        <v>3205.11</v>
      </c>
      <c r="G44" s="72">
        <v>3159368.22</v>
      </c>
      <c r="H44" s="74">
        <f>H43+G44</f>
        <v>10553990.610000001</v>
      </c>
      <c r="I44" s="75" t="s">
        <v>10</v>
      </c>
    </row>
    <row r="45" spans="2:9" ht="29.5" thickBot="1">
      <c r="B45" s="281">
        <v>46301</v>
      </c>
      <c r="C45" s="537" t="s">
        <v>769</v>
      </c>
      <c r="D45" s="246">
        <v>247.81</v>
      </c>
      <c r="E45" s="244">
        <v>244269.96</v>
      </c>
      <c r="F45" s="150"/>
      <c r="G45" s="150"/>
      <c r="H45" s="245">
        <f t="shared" ref="H45:H51" si="4">H44-E45</f>
        <v>10309720.65</v>
      </c>
      <c r="I45" s="535" t="s">
        <v>10</v>
      </c>
    </row>
    <row r="46" spans="2:9" ht="15" thickBot="1">
      <c r="B46" s="281">
        <v>46301</v>
      </c>
      <c r="C46" s="536" t="s">
        <v>31</v>
      </c>
      <c r="D46" s="246">
        <v>0.74</v>
      </c>
      <c r="E46" s="244">
        <v>732.8</v>
      </c>
      <c r="F46" s="150"/>
      <c r="G46" s="150"/>
      <c r="H46" s="245">
        <f t="shared" si="4"/>
        <v>10308987.85</v>
      </c>
      <c r="I46" s="535" t="s">
        <v>25</v>
      </c>
    </row>
    <row r="47" spans="2:9" ht="29.5" thickBot="1">
      <c r="B47" s="281">
        <v>46301</v>
      </c>
      <c r="C47" s="537" t="s">
        <v>770</v>
      </c>
      <c r="D47" s="246">
        <v>1078.6199999999999</v>
      </c>
      <c r="E47" s="244">
        <v>1063228.6000000001</v>
      </c>
      <c r="F47" s="150"/>
      <c r="G47" s="150"/>
      <c r="H47" s="245">
        <f t="shared" si="4"/>
        <v>9245759.25</v>
      </c>
      <c r="I47" s="535" t="s">
        <v>10</v>
      </c>
    </row>
    <row r="48" spans="2:9" ht="15" thickBot="1">
      <c r="B48" s="281">
        <v>46301</v>
      </c>
      <c r="C48" s="536" t="s">
        <v>31</v>
      </c>
      <c r="D48" s="246">
        <v>3.24</v>
      </c>
      <c r="E48" s="244">
        <v>3189.68</v>
      </c>
      <c r="F48" s="150"/>
      <c r="G48" s="150"/>
      <c r="H48" s="245">
        <f t="shared" si="4"/>
        <v>9242569.5700000003</v>
      </c>
      <c r="I48" s="535" t="s">
        <v>25</v>
      </c>
    </row>
    <row r="49" spans="2:9" ht="29.5" thickBot="1">
      <c r="B49" s="281">
        <v>46301</v>
      </c>
      <c r="C49" s="537" t="s">
        <v>771</v>
      </c>
      <c r="D49" s="246">
        <v>202.9</v>
      </c>
      <c r="E49" s="244">
        <v>200000</v>
      </c>
      <c r="F49" s="150"/>
      <c r="G49" s="150"/>
      <c r="H49" s="245">
        <f t="shared" si="4"/>
        <v>9042569.5700000003</v>
      </c>
      <c r="I49" s="535" t="s">
        <v>10</v>
      </c>
    </row>
    <row r="50" spans="2:9" ht="15" thickBot="1">
      <c r="B50" s="281">
        <v>46301</v>
      </c>
      <c r="C50" s="536" t="s">
        <v>31</v>
      </c>
      <c r="D50" s="246">
        <v>0.61</v>
      </c>
      <c r="E50" s="244">
        <v>600</v>
      </c>
      <c r="F50" s="150"/>
      <c r="G50" s="150"/>
      <c r="H50" s="245">
        <f t="shared" si="4"/>
        <v>9041969.5700000003</v>
      </c>
      <c r="I50" s="535" t="s">
        <v>25</v>
      </c>
    </row>
    <row r="51" spans="2:9" ht="33" customHeight="1" thickBot="1">
      <c r="B51" s="281">
        <v>46301</v>
      </c>
      <c r="C51" s="537" t="s">
        <v>772</v>
      </c>
      <c r="D51" s="246">
        <v>1516.15</v>
      </c>
      <c r="E51" s="244">
        <v>1494517.5</v>
      </c>
      <c r="F51" s="150"/>
      <c r="G51" s="150"/>
      <c r="H51" s="245">
        <f t="shared" si="4"/>
        <v>7547452.0700000003</v>
      </c>
      <c r="I51" s="535" t="s">
        <v>10</v>
      </c>
    </row>
    <row r="52" spans="2:9" ht="15" thickBot="1">
      <c r="B52" s="69">
        <v>46302</v>
      </c>
      <c r="C52" s="70" t="s">
        <v>773</v>
      </c>
      <c r="D52" s="72"/>
      <c r="E52" s="73"/>
      <c r="F52" s="70">
        <v>20.399999999999999</v>
      </c>
      <c r="G52" s="72">
        <v>20111.189999999999</v>
      </c>
      <c r="H52" s="74">
        <f>H51+G52</f>
        <v>7567563.2600000007</v>
      </c>
      <c r="I52" s="75" t="s">
        <v>13</v>
      </c>
    </row>
    <row r="53" spans="2:9" ht="15" thickBot="1">
      <c r="B53" s="69">
        <v>46302</v>
      </c>
      <c r="C53" s="70" t="s">
        <v>774</v>
      </c>
      <c r="D53" s="72"/>
      <c r="E53" s="73"/>
      <c r="F53" s="70">
        <v>17.489999999999998</v>
      </c>
      <c r="G53" s="72">
        <v>17238.169999999998</v>
      </c>
      <c r="H53" s="74">
        <f t="shared" ref="H53:H54" si="5">H52+G53</f>
        <v>7584801.4300000006</v>
      </c>
      <c r="I53" s="75" t="s">
        <v>13</v>
      </c>
    </row>
    <row r="54" spans="2:9" ht="15" thickBot="1">
      <c r="B54" s="69">
        <v>46302</v>
      </c>
      <c r="C54" s="70" t="s">
        <v>775</v>
      </c>
      <c r="D54" s="72"/>
      <c r="E54" s="73"/>
      <c r="F54" s="70">
        <v>2.93</v>
      </c>
      <c r="G54" s="72">
        <v>2884.67</v>
      </c>
      <c r="H54" s="74">
        <f t="shared" si="5"/>
        <v>7587686.1000000006</v>
      </c>
      <c r="I54" s="75" t="s">
        <v>13</v>
      </c>
    </row>
    <row r="55" spans="2:9" ht="15" thickBot="1">
      <c r="B55" s="281">
        <v>46302</v>
      </c>
      <c r="C55" s="492" t="s">
        <v>309</v>
      </c>
      <c r="D55" s="246">
        <v>0.31</v>
      </c>
      <c r="E55" s="244">
        <v>301.66000000000003</v>
      </c>
      <c r="F55" s="150"/>
      <c r="G55" s="150"/>
      <c r="H55" s="245">
        <f>H54-E55</f>
        <v>7587384.4400000004</v>
      </c>
      <c r="I55" s="535" t="s">
        <v>25</v>
      </c>
    </row>
    <row r="56" spans="2:9" ht="15" thickBot="1">
      <c r="B56" s="281">
        <v>46302</v>
      </c>
      <c r="C56" s="492" t="s">
        <v>309</v>
      </c>
      <c r="D56" s="246">
        <v>0.26</v>
      </c>
      <c r="E56" s="244">
        <v>258.57</v>
      </c>
      <c r="F56" s="150"/>
      <c r="G56" s="150"/>
      <c r="H56" s="245">
        <f t="shared" ref="H56:H59" si="6">H55-E56</f>
        <v>7587125.8700000001</v>
      </c>
      <c r="I56" s="535" t="s">
        <v>25</v>
      </c>
    </row>
    <row r="57" spans="2:9" ht="15" thickBot="1">
      <c r="B57" s="281">
        <v>46302</v>
      </c>
      <c r="C57" s="492" t="s">
        <v>309</v>
      </c>
      <c r="D57" s="246">
        <v>0.04</v>
      </c>
      <c r="E57" s="244">
        <v>43.27</v>
      </c>
      <c r="F57" s="150"/>
      <c r="G57" s="150"/>
      <c r="H57" s="245">
        <f t="shared" si="6"/>
        <v>7587082.6000000006</v>
      </c>
      <c r="I57" s="535" t="s">
        <v>25</v>
      </c>
    </row>
    <row r="58" spans="2:9" ht="15" thickBot="1">
      <c r="B58" s="281">
        <v>46302</v>
      </c>
      <c r="C58" s="536" t="s">
        <v>776</v>
      </c>
      <c r="D58" s="246">
        <v>22.28</v>
      </c>
      <c r="E58" s="244">
        <v>21960.28</v>
      </c>
      <c r="F58" s="150"/>
      <c r="G58" s="150"/>
      <c r="H58" s="245">
        <f t="shared" si="6"/>
        <v>7565122.3200000003</v>
      </c>
      <c r="I58" s="535" t="s">
        <v>10</v>
      </c>
    </row>
    <row r="59" spans="2:9" ht="15" thickBot="1">
      <c r="B59" s="281">
        <v>46302</v>
      </c>
      <c r="C59" s="536" t="s">
        <v>31</v>
      </c>
      <c r="D59" s="246">
        <v>7.0000000000000007E-2</v>
      </c>
      <c r="E59" s="244">
        <v>65.88</v>
      </c>
      <c r="F59" s="150"/>
      <c r="G59" s="150"/>
      <c r="H59" s="245">
        <f t="shared" si="6"/>
        <v>7565056.4400000004</v>
      </c>
      <c r="I59" s="535" t="s">
        <v>25</v>
      </c>
    </row>
    <row r="60" spans="2:9" ht="29.5" thickBot="1">
      <c r="B60" s="281">
        <v>46302</v>
      </c>
      <c r="C60" s="537" t="s">
        <v>777</v>
      </c>
      <c r="D60" s="246">
        <v>532.70000000000005</v>
      </c>
      <c r="E60" s="244">
        <v>524320.19999999995</v>
      </c>
      <c r="F60" s="150"/>
      <c r="G60" s="150"/>
      <c r="H60" s="245">
        <f>H59-E60</f>
        <v>7040736.2400000002</v>
      </c>
      <c r="I60" s="535" t="s">
        <v>10</v>
      </c>
    </row>
    <row r="61" spans="2:9" ht="15" thickBot="1">
      <c r="B61" s="281">
        <v>46302</v>
      </c>
      <c r="C61" s="536" t="s">
        <v>31</v>
      </c>
      <c r="D61" s="246">
        <v>1.6</v>
      </c>
      <c r="E61" s="244">
        <v>1572.96</v>
      </c>
      <c r="F61" s="150"/>
      <c r="G61" s="150"/>
      <c r="H61" s="245">
        <f>H60-E61</f>
        <v>7039163.2800000003</v>
      </c>
      <c r="I61" s="535" t="s">
        <v>25</v>
      </c>
    </row>
    <row r="62" spans="2:9" ht="29.5" thickBot="1">
      <c r="B62" s="281">
        <v>46302</v>
      </c>
      <c r="C62" s="537" t="s">
        <v>778</v>
      </c>
      <c r="D62" s="246">
        <v>443.92</v>
      </c>
      <c r="E62" s="244">
        <v>436933.5</v>
      </c>
      <c r="F62" s="150"/>
      <c r="G62" s="150"/>
      <c r="H62" s="245">
        <f>H61-E62</f>
        <v>6602229.7800000003</v>
      </c>
      <c r="I62" s="535" t="s">
        <v>10</v>
      </c>
    </row>
    <row r="63" spans="2:9" ht="15" thickBot="1">
      <c r="B63" s="281">
        <v>46302</v>
      </c>
      <c r="C63" s="536" t="s">
        <v>31</v>
      </c>
      <c r="D63" s="246">
        <v>1.33</v>
      </c>
      <c r="E63" s="244">
        <v>1310.8</v>
      </c>
      <c r="F63" s="150"/>
      <c r="G63" s="150"/>
      <c r="H63" s="245">
        <f>H62-E63</f>
        <v>6600918.9800000004</v>
      </c>
      <c r="I63" s="535" t="s">
        <v>25</v>
      </c>
    </row>
    <row r="64" spans="2:9" ht="29.5" thickBot="1">
      <c r="B64" s="281">
        <v>46302</v>
      </c>
      <c r="C64" s="537" t="s">
        <v>779</v>
      </c>
      <c r="D64" s="246">
        <v>2377.41</v>
      </c>
      <c r="E64" s="244">
        <v>2340000</v>
      </c>
      <c r="F64" s="150"/>
      <c r="G64" s="150"/>
      <c r="H64" s="245">
        <f>H63-E64</f>
        <v>4260918.9800000004</v>
      </c>
      <c r="I64" s="535" t="s">
        <v>10</v>
      </c>
    </row>
    <row r="65" spans="2:10" ht="29.5" thickBot="1">
      <c r="B65" s="69">
        <v>46302</v>
      </c>
      <c r="C65" s="378" t="s">
        <v>780</v>
      </c>
      <c r="D65" s="72"/>
      <c r="E65" s="73"/>
      <c r="F65" s="70">
        <v>34.799999999999997</v>
      </c>
      <c r="G65" s="72">
        <v>34252.239999999998</v>
      </c>
      <c r="H65" s="74">
        <f>H64+G65</f>
        <v>4295171.2200000007</v>
      </c>
      <c r="I65" s="75"/>
    </row>
    <row r="66" spans="2:10" ht="29.5" thickBot="1">
      <c r="B66" s="281">
        <v>46302</v>
      </c>
      <c r="C66" s="537" t="s">
        <v>781</v>
      </c>
      <c r="D66" s="246">
        <v>3381.48</v>
      </c>
      <c r="E66" s="244">
        <v>3328262.29</v>
      </c>
      <c r="F66" s="150"/>
      <c r="G66" s="150"/>
      <c r="H66" s="245">
        <f>H65-E66</f>
        <v>966908.93000000063</v>
      </c>
      <c r="I66" s="535" t="s">
        <v>10</v>
      </c>
    </row>
    <row r="67" spans="2:10" ht="15" thickBot="1">
      <c r="B67" s="281">
        <v>46302</v>
      </c>
      <c r="C67" s="536" t="s">
        <v>31</v>
      </c>
      <c r="D67" s="246">
        <v>10.14</v>
      </c>
      <c r="E67" s="244">
        <v>9984.7800000000007</v>
      </c>
      <c r="F67" s="150"/>
      <c r="G67" s="150"/>
      <c r="H67" s="245">
        <f>H66-E67</f>
        <v>956924.15000000061</v>
      </c>
      <c r="I67" s="535" t="s">
        <v>25</v>
      </c>
    </row>
    <row r="68" spans="2:10" ht="15" thickBot="1">
      <c r="B68" s="69">
        <v>46303</v>
      </c>
      <c r="C68" s="70" t="s">
        <v>782</v>
      </c>
      <c r="D68" s="72"/>
      <c r="E68" s="73"/>
      <c r="F68" s="70">
        <v>11.82</v>
      </c>
      <c r="G68" s="72">
        <v>11574.91</v>
      </c>
      <c r="H68" s="74">
        <f>H67+G68</f>
        <v>968499.06000000064</v>
      </c>
      <c r="I68" s="75" t="s">
        <v>13</v>
      </c>
    </row>
    <row r="69" spans="2:10" ht="15" thickBot="1">
      <c r="B69" s="69">
        <v>46303</v>
      </c>
      <c r="C69" s="70" t="s">
        <v>759</v>
      </c>
      <c r="D69" s="72"/>
      <c r="E69" s="73"/>
      <c r="F69" s="70">
        <v>5.91</v>
      </c>
      <c r="G69" s="72">
        <v>5787.47</v>
      </c>
      <c r="H69" s="74">
        <f>H68+G69</f>
        <v>974286.53000000061</v>
      </c>
      <c r="I69" s="75" t="s">
        <v>13</v>
      </c>
    </row>
    <row r="70" spans="2:10" ht="15" thickBot="1">
      <c r="B70" s="281">
        <v>46303</v>
      </c>
      <c r="C70" s="492" t="s">
        <v>309</v>
      </c>
      <c r="D70" s="246">
        <v>0.18</v>
      </c>
      <c r="E70" s="244">
        <v>173.62</v>
      </c>
      <c r="F70" s="150"/>
      <c r="G70" s="150"/>
      <c r="H70" s="245">
        <f>H69-E70</f>
        <v>974112.91000000061</v>
      </c>
      <c r="I70" s="535" t="s">
        <v>25</v>
      </c>
    </row>
    <row r="71" spans="2:10" ht="15" thickBot="1">
      <c r="B71" s="281">
        <v>46303</v>
      </c>
      <c r="C71" s="492" t="s">
        <v>309</v>
      </c>
      <c r="D71" s="246">
        <v>0.09</v>
      </c>
      <c r="E71" s="244">
        <v>86.81</v>
      </c>
      <c r="F71" s="150"/>
      <c r="G71" s="150"/>
      <c r="H71" s="245">
        <f>H70-E71</f>
        <v>974026.10000000056</v>
      </c>
      <c r="I71" s="535" t="s">
        <v>25</v>
      </c>
    </row>
    <row r="72" spans="2:10" ht="15" thickBot="1">
      <c r="B72" s="69">
        <v>46303</v>
      </c>
      <c r="C72" s="70" t="s">
        <v>825</v>
      </c>
      <c r="D72" s="72"/>
      <c r="E72" s="73"/>
      <c r="F72" s="381">
        <v>6754.54</v>
      </c>
      <c r="G72" s="72">
        <v>6623606.1399999997</v>
      </c>
      <c r="H72" s="74">
        <f>H71+G72</f>
        <v>7597632.2400000002</v>
      </c>
      <c r="I72" s="75" t="s">
        <v>10</v>
      </c>
      <c r="J72" s="258"/>
    </row>
    <row r="73" spans="2:10" ht="29.5" thickBot="1">
      <c r="B73" s="281">
        <v>46303</v>
      </c>
      <c r="C73" s="537" t="s">
        <v>783</v>
      </c>
      <c r="D73" s="246">
        <v>2093.67</v>
      </c>
      <c r="E73" s="244">
        <v>2053083.71</v>
      </c>
      <c r="F73" s="150"/>
      <c r="G73" s="150"/>
      <c r="H73" s="245">
        <f>H72-E73</f>
        <v>5544548.5300000003</v>
      </c>
      <c r="I73" s="535" t="s">
        <v>10</v>
      </c>
    </row>
    <row r="74" spans="2:10" ht="15" thickBot="1">
      <c r="B74" s="281">
        <v>46303</v>
      </c>
      <c r="C74" s="536" t="s">
        <v>31</v>
      </c>
      <c r="D74" s="246">
        <v>6.28</v>
      </c>
      <c r="E74" s="244">
        <v>6159.25</v>
      </c>
      <c r="F74" s="150"/>
      <c r="G74" s="150"/>
      <c r="H74" s="245">
        <f>H73-E74</f>
        <v>5538389.2800000003</v>
      </c>
      <c r="I74" s="535" t="s">
        <v>25</v>
      </c>
    </row>
    <row r="75" spans="2:10" ht="15" thickBot="1">
      <c r="B75" s="69">
        <v>46304</v>
      </c>
      <c r="C75" s="70" t="s">
        <v>762</v>
      </c>
      <c r="D75" s="72"/>
      <c r="E75" s="73"/>
      <c r="F75" s="70">
        <v>29.59</v>
      </c>
      <c r="G75" s="72">
        <v>25906.46</v>
      </c>
      <c r="H75" s="74">
        <f>H74+G75</f>
        <v>5564295.7400000002</v>
      </c>
      <c r="I75" s="75" t="s">
        <v>13</v>
      </c>
    </row>
    <row r="76" spans="2:10" ht="15" thickBot="1">
      <c r="B76" s="69">
        <v>46304</v>
      </c>
      <c r="C76" s="70" t="s">
        <v>784</v>
      </c>
      <c r="D76" s="72"/>
      <c r="E76" s="73"/>
      <c r="F76" s="70">
        <v>29.59</v>
      </c>
      <c r="G76" s="72">
        <v>25906.46</v>
      </c>
      <c r="H76" s="74">
        <f>H75+G76</f>
        <v>5590202.2000000002</v>
      </c>
      <c r="I76" s="75" t="s">
        <v>13</v>
      </c>
    </row>
    <row r="77" spans="2:10" ht="15" thickBot="1">
      <c r="B77" s="281">
        <v>46304</v>
      </c>
      <c r="C77" s="536" t="s">
        <v>785</v>
      </c>
      <c r="D77" s="246">
        <v>0.63</v>
      </c>
      <c r="E77" s="244">
        <v>612.95000000000005</v>
      </c>
      <c r="F77" s="150"/>
      <c r="G77" s="150"/>
      <c r="H77" s="245">
        <f>H76-E77</f>
        <v>5589589.25</v>
      </c>
      <c r="I77" s="535" t="s">
        <v>25</v>
      </c>
    </row>
    <row r="78" spans="2:10" ht="15" thickBot="1">
      <c r="B78" s="69">
        <v>46304</v>
      </c>
      <c r="C78" s="70" t="s">
        <v>825</v>
      </c>
      <c r="D78" s="72"/>
      <c r="E78" s="73"/>
      <c r="F78" s="381">
        <v>6070.79</v>
      </c>
      <c r="G78" s="72">
        <v>5953104.4000000004</v>
      </c>
      <c r="H78" s="74">
        <f>H77+G78</f>
        <v>11542693.65</v>
      </c>
      <c r="I78" s="75"/>
      <c r="J78" s="258"/>
    </row>
    <row r="79" spans="2:10" ht="29.5" thickBot="1">
      <c r="B79" s="281">
        <v>46304</v>
      </c>
      <c r="C79" s="537" t="s">
        <v>786</v>
      </c>
      <c r="D79" s="246">
        <v>719.61</v>
      </c>
      <c r="E79" s="244">
        <v>705662</v>
      </c>
      <c r="F79" s="150"/>
      <c r="G79" s="150"/>
      <c r="H79" s="245">
        <f t="shared" ref="H79:H87" si="7">H78-E79</f>
        <v>10837031.65</v>
      </c>
      <c r="I79" s="535" t="s">
        <v>10</v>
      </c>
    </row>
    <row r="80" spans="2:10" ht="15" thickBot="1">
      <c r="B80" s="281">
        <v>46304</v>
      </c>
      <c r="C80" s="536" t="s">
        <v>31</v>
      </c>
      <c r="D80" s="246">
        <v>2.16</v>
      </c>
      <c r="E80" s="244">
        <v>2116.98</v>
      </c>
      <c r="F80" s="150"/>
      <c r="G80" s="150"/>
      <c r="H80" s="245">
        <f t="shared" si="7"/>
        <v>10834914.67</v>
      </c>
      <c r="I80" s="535" t="s">
        <v>25</v>
      </c>
    </row>
    <row r="81" spans="2:9" ht="29.5" thickBot="1">
      <c r="B81" s="281">
        <v>46304</v>
      </c>
      <c r="C81" s="537" t="s">
        <v>787</v>
      </c>
      <c r="D81" s="246">
        <v>354.08</v>
      </c>
      <c r="E81" s="244">
        <v>347212.29</v>
      </c>
      <c r="F81" s="150"/>
      <c r="G81" s="150"/>
      <c r="H81" s="245">
        <f t="shared" si="7"/>
        <v>10487702.380000001</v>
      </c>
      <c r="I81" s="535" t="s">
        <v>10</v>
      </c>
    </row>
    <row r="82" spans="2:9" ht="15" thickBot="1">
      <c r="B82" s="281">
        <v>46304</v>
      </c>
      <c r="C82" s="536" t="s">
        <v>31</v>
      </c>
      <c r="D82" s="246">
        <v>1.06</v>
      </c>
      <c r="E82" s="244">
        <v>1041.6300000000001</v>
      </c>
      <c r="F82" s="150"/>
      <c r="G82" s="150"/>
      <c r="H82" s="245">
        <f t="shared" si="7"/>
        <v>10486660.75</v>
      </c>
      <c r="I82" s="535" t="s">
        <v>25</v>
      </c>
    </row>
    <row r="83" spans="2:9" ht="15" thickBot="1">
      <c r="B83" s="281">
        <v>46304</v>
      </c>
      <c r="C83" s="536" t="s">
        <v>788</v>
      </c>
      <c r="D83" s="246">
        <v>2370.96</v>
      </c>
      <c r="E83" s="244">
        <v>2325000</v>
      </c>
      <c r="F83" s="150"/>
      <c r="G83" s="150"/>
      <c r="H83" s="245">
        <f t="shared" si="7"/>
        <v>8161660.75</v>
      </c>
      <c r="I83" s="535" t="s">
        <v>10</v>
      </c>
    </row>
    <row r="84" spans="2:9" ht="15" thickBot="1">
      <c r="B84" s="281">
        <v>46304</v>
      </c>
      <c r="C84" s="536" t="s">
        <v>31</v>
      </c>
      <c r="D84" s="246">
        <v>7.11</v>
      </c>
      <c r="E84" s="244">
        <v>6975</v>
      </c>
      <c r="F84" s="150"/>
      <c r="G84" s="150"/>
      <c r="H84" s="245">
        <f t="shared" si="7"/>
        <v>8154685.75</v>
      </c>
      <c r="I84" s="535" t="s">
        <v>25</v>
      </c>
    </row>
    <row r="85" spans="2:9" ht="29.5" thickBot="1">
      <c r="B85" s="281">
        <v>46304</v>
      </c>
      <c r="C85" s="537" t="s">
        <v>789</v>
      </c>
      <c r="D85" s="246">
        <v>1983.89</v>
      </c>
      <c r="E85" s="244">
        <v>1945435.72</v>
      </c>
      <c r="F85" s="150"/>
      <c r="G85" s="150"/>
      <c r="H85" s="245">
        <f t="shared" si="7"/>
        <v>6209250.0300000003</v>
      </c>
      <c r="I85" s="535" t="s">
        <v>10</v>
      </c>
    </row>
    <row r="86" spans="2:9" ht="15" thickBot="1">
      <c r="B86" s="281">
        <v>46304</v>
      </c>
      <c r="C86" s="536" t="s">
        <v>31</v>
      </c>
      <c r="D86" s="246">
        <v>5.95</v>
      </c>
      <c r="E86" s="244">
        <v>5836.3</v>
      </c>
      <c r="F86" s="150"/>
      <c r="G86" s="150"/>
      <c r="H86" s="245">
        <f t="shared" si="7"/>
        <v>6203413.7300000004</v>
      </c>
      <c r="I86" s="535" t="s">
        <v>25</v>
      </c>
    </row>
    <row r="87" spans="2:9" ht="29.5" thickBot="1">
      <c r="B87" s="281">
        <v>46305</v>
      </c>
      <c r="C87" s="537" t="s">
        <v>790</v>
      </c>
      <c r="D87" s="246">
        <v>55.45</v>
      </c>
      <c r="E87" s="244">
        <v>54374</v>
      </c>
      <c r="F87" s="150"/>
      <c r="G87" s="150"/>
      <c r="H87" s="245">
        <f t="shared" si="7"/>
        <v>6149039.7300000004</v>
      </c>
      <c r="I87" s="535" t="s">
        <v>13</v>
      </c>
    </row>
    <row r="88" spans="2:9" ht="15" thickBot="1">
      <c r="B88" s="69">
        <v>46305</v>
      </c>
      <c r="C88" s="70" t="s">
        <v>791</v>
      </c>
      <c r="D88" s="72"/>
      <c r="E88" s="73"/>
      <c r="F88" s="70">
        <v>11.72</v>
      </c>
      <c r="G88" s="72">
        <v>11491.01</v>
      </c>
      <c r="H88" s="74">
        <f>H87+G88</f>
        <v>6160530.7400000002</v>
      </c>
      <c r="I88" s="75" t="s">
        <v>13</v>
      </c>
    </row>
    <row r="89" spans="2:9" ht="15" thickBot="1">
      <c r="B89" s="69">
        <v>46305</v>
      </c>
      <c r="C89" s="70" t="s">
        <v>763</v>
      </c>
      <c r="D89" s="72"/>
      <c r="E89" s="73"/>
      <c r="F89" s="70">
        <v>2.94</v>
      </c>
      <c r="G89" s="72">
        <v>2883.01</v>
      </c>
      <c r="H89" s="74">
        <f>H88+G89</f>
        <v>6163413.75</v>
      </c>
      <c r="I89" s="75" t="s">
        <v>13</v>
      </c>
    </row>
    <row r="90" spans="2:9" ht="15" thickBot="1">
      <c r="B90" s="281">
        <v>46305</v>
      </c>
      <c r="C90" s="536" t="s">
        <v>792</v>
      </c>
      <c r="D90" s="246">
        <v>0.63</v>
      </c>
      <c r="E90" s="244">
        <v>612.95000000000005</v>
      </c>
      <c r="F90" s="150"/>
      <c r="G90" s="150"/>
      <c r="H90" s="245">
        <f t="shared" ref="H90:H104" si="8">H89-E90</f>
        <v>6162800.7999999998</v>
      </c>
      <c r="I90" s="535" t="s">
        <v>25</v>
      </c>
    </row>
    <row r="91" spans="2:9" ht="15" thickBot="1">
      <c r="B91" s="281">
        <v>46305</v>
      </c>
      <c r="C91" s="536" t="s">
        <v>793</v>
      </c>
      <c r="D91" s="246">
        <v>3.57</v>
      </c>
      <c r="E91" s="244">
        <v>3500</v>
      </c>
      <c r="F91" s="150"/>
      <c r="G91" s="150"/>
      <c r="H91" s="245">
        <f t="shared" si="8"/>
        <v>6159300.7999999998</v>
      </c>
      <c r="I91" s="535" t="s">
        <v>13</v>
      </c>
    </row>
    <row r="92" spans="2:9" ht="15" thickBot="1">
      <c r="B92" s="281">
        <v>46305</v>
      </c>
      <c r="C92" s="536" t="s">
        <v>794</v>
      </c>
      <c r="D92" s="246">
        <v>3.57</v>
      </c>
      <c r="E92" s="244">
        <v>3500</v>
      </c>
      <c r="F92" s="150"/>
      <c r="G92" s="150"/>
      <c r="H92" s="245">
        <f t="shared" si="8"/>
        <v>6155800.7999999998</v>
      </c>
      <c r="I92" s="535" t="s">
        <v>13</v>
      </c>
    </row>
    <row r="93" spans="2:9" ht="15" thickBot="1">
      <c r="B93" s="281">
        <v>46305</v>
      </c>
      <c r="C93" s="536" t="s">
        <v>801</v>
      </c>
      <c r="D93" s="246">
        <v>3.57</v>
      </c>
      <c r="E93" s="244">
        <v>3500</v>
      </c>
      <c r="F93" s="150"/>
      <c r="G93" s="150"/>
      <c r="H93" s="245">
        <f t="shared" si="8"/>
        <v>6152300.7999999998</v>
      </c>
      <c r="I93" s="535" t="s">
        <v>13</v>
      </c>
    </row>
    <row r="94" spans="2:9" ht="29.5" thickBot="1">
      <c r="B94" s="281">
        <v>46305</v>
      </c>
      <c r="C94" s="537" t="s">
        <v>795</v>
      </c>
      <c r="D94" s="246">
        <v>4.03</v>
      </c>
      <c r="E94" s="244">
        <v>3947</v>
      </c>
      <c r="F94" s="150"/>
      <c r="G94" s="150"/>
      <c r="H94" s="245">
        <f t="shared" si="8"/>
        <v>6148353.7999999998</v>
      </c>
      <c r="I94" s="535" t="s">
        <v>13</v>
      </c>
    </row>
    <row r="95" spans="2:9" ht="29.5" thickBot="1">
      <c r="B95" s="281">
        <v>46305</v>
      </c>
      <c r="C95" s="537" t="s">
        <v>795</v>
      </c>
      <c r="D95" s="246">
        <v>38</v>
      </c>
      <c r="E95" s="244">
        <v>37268.25</v>
      </c>
      <c r="F95" s="150"/>
      <c r="G95" s="150"/>
      <c r="H95" s="245">
        <f t="shared" si="8"/>
        <v>6111085.5499999998</v>
      </c>
      <c r="I95" s="535" t="s">
        <v>13</v>
      </c>
    </row>
    <row r="96" spans="2:9" ht="15" thickBot="1">
      <c r="B96" s="281">
        <v>46305</v>
      </c>
      <c r="C96" s="536" t="s">
        <v>796</v>
      </c>
      <c r="D96" s="246">
        <v>638.4</v>
      </c>
      <c r="E96" s="244">
        <v>626028.06000000006</v>
      </c>
      <c r="F96" s="150"/>
      <c r="G96" s="150"/>
      <c r="H96" s="245">
        <f t="shared" si="8"/>
        <v>5485057.4900000002</v>
      </c>
      <c r="I96" s="535" t="s">
        <v>13</v>
      </c>
    </row>
    <row r="97" spans="2:10" ht="15" thickBot="1">
      <c r="B97" s="539">
        <v>46305</v>
      </c>
      <c r="C97" s="545" t="s">
        <v>797</v>
      </c>
      <c r="D97" s="540">
        <v>15.19</v>
      </c>
      <c r="E97" s="541">
        <v>14897</v>
      </c>
      <c r="F97" s="542"/>
      <c r="G97" s="542"/>
      <c r="H97" s="543">
        <f t="shared" si="8"/>
        <v>5470160.4900000002</v>
      </c>
      <c r="I97" s="544" t="s">
        <v>13</v>
      </c>
      <c r="J97" s="538"/>
    </row>
    <row r="98" spans="2:10" ht="15" thickBot="1">
      <c r="B98" s="281">
        <v>46305</v>
      </c>
      <c r="C98" s="536" t="s">
        <v>798</v>
      </c>
      <c r="D98" s="246">
        <v>2.68</v>
      </c>
      <c r="E98" s="244">
        <v>2630.4</v>
      </c>
      <c r="F98" s="150"/>
      <c r="G98" s="150"/>
      <c r="H98" s="245">
        <f t="shared" si="8"/>
        <v>5467530.0899999999</v>
      </c>
      <c r="I98" s="535" t="s">
        <v>13</v>
      </c>
    </row>
    <row r="99" spans="2:10" ht="15" thickBot="1">
      <c r="B99" s="281">
        <v>46305</v>
      </c>
      <c r="C99" s="536" t="s">
        <v>799</v>
      </c>
      <c r="D99" s="246">
        <v>1019.77</v>
      </c>
      <c r="E99" s="244">
        <v>1000000</v>
      </c>
      <c r="F99" s="150"/>
      <c r="G99" s="150"/>
      <c r="H99" s="245">
        <f t="shared" si="8"/>
        <v>4467530.09</v>
      </c>
      <c r="I99" s="535" t="s">
        <v>10</v>
      </c>
    </row>
    <row r="100" spans="2:10" ht="15" thickBot="1">
      <c r="B100" s="281">
        <v>46305</v>
      </c>
      <c r="C100" s="536" t="s">
        <v>794</v>
      </c>
      <c r="D100" s="246">
        <v>3.57</v>
      </c>
      <c r="E100" s="244">
        <v>3500</v>
      </c>
      <c r="F100" s="150"/>
      <c r="G100" s="150"/>
      <c r="H100" s="245">
        <f t="shared" si="8"/>
        <v>4464030.09</v>
      </c>
      <c r="I100" s="535" t="s">
        <v>13</v>
      </c>
    </row>
    <row r="101" spans="2:10" ht="15" thickBot="1">
      <c r="B101" s="281">
        <v>46305</v>
      </c>
      <c r="C101" s="536" t="s">
        <v>800</v>
      </c>
      <c r="D101" s="246">
        <v>16.07</v>
      </c>
      <c r="E101" s="244">
        <v>15761.7</v>
      </c>
      <c r="F101" s="150"/>
      <c r="G101" s="150"/>
      <c r="H101" s="245">
        <f t="shared" si="8"/>
        <v>4448268.3899999997</v>
      </c>
      <c r="I101" s="535" t="s">
        <v>13</v>
      </c>
    </row>
    <row r="102" spans="2:10" ht="15" thickBot="1">
      <c r="B102" s="281">
        <v>46305</v>
      </c>
      <c r="C102" s="536" t="s">
        <v>801</v>
      </c>
      <c r="D102" s="246">
        <v>3.57</v>
      </c>
      <c r="E102" s="244">
        <v>3500</v>
      </c>
      <c r="F102" s="150"/>
      <c r="G102" s="150"/>
      <c r="H102" s="245">
        <f t="shared" si="8"/>
        <v>4444768.3899999997</v>
      </c>
      <c r="I102" s="535" t="s">
        <v>13</v>
      </c>
    </row>
    <row r="103" spans="2:10" ht="15" thickBot="1">
      <c r="B103" s="281">
        <v>46305</v>
      </c>
      <c r="C103" s="536" t="s">
        <v>793</v>
      </c>
      <c r="D103" s="246">
        <v>3.57</v>
      </c>
      <c r="E103" s="244">
        <v>3500</v>
      </c>
      <c r="F103" s="150"/>
      <c r="G103" s="150"/>
      <c r="H103" s="245">
        <f t="shared" si="8"/>
        <v>4441268.3899999997</v>
      </c>
      <c r="I103" s="535" t="s">
        <v>13</v>
      </c>
    </row>
    <row r="104" spans="2:10" ht="15" thickBot="1">
      <c r="B104" s="281">
        <v>46305</v>
      </c>
      <c r="C104" s="536" t="s">
        <v>801</v>
      </c>
      <c r="D104" s="246">
        <v>3.57</v>
      </c>
      <c r="E104" s="244">
        <v>3500</v>
      </c>
      <c r="F104" s="150"/>
      <c r="G104" s="150"/>
      <c r="H104" s="245">
        <f t="shared" si="8"/>
        <v>4437768.3899999997</v>
      </c>
      <c r="I104" s="535" t="s">
        <v>13</v>
      </c>
    </row>
    <row r="105" spans="2:10" ht="15" thickBot="1">
      <c r="B105" s="69">
        <v>46305</v>
      </c>
      <c r="C105" s="70" t="s">
        <v>802</v>
      </c>
      <c r="D105" s="72"/>
      <c r="E105" s="73"/>
      <c r="F105" s="70">
        <v>18.239999999999998</v>
      </c>
      <c r="G105" s="72">
        <v>17886.72</v>
      </c>
      <c r="H105" s="74">
        <f>H104+G105</f>
        <v>4455655.1099999994</v>
      </c>
      <c r="I105" s="75" t="s">
        <v>10</v>
      </c>
    </row>
    <row r="106" spans="2:10" ht="15" thickBot="1">
      <c r="B106" s="69">
        <v>46306</v>
      </c>
      <c r="C106" s="70" t="s">
        <v>803</v>
      </c>
      <c r="D106" s="72"/>
      <c r="E106" s="73"/>
      <c r="F106" s="70">
        <v>23.53</v>
      </c>
      <c r="G106" s="72">
        <v>23074.76</v>
      </c>
      <c r="H106" s="74">
        <f t="shared" ref="H106:H107" si="9">H105+G106</f>
        <v>4478729.8699999992</v>
      </c>
      <c r="I106" s="75" t="s">
        <v>13</v>
      </c>
    </row>
    <row r="107" spans="2:10" ht="15" thickBot="1">
      <c r="B107" s="69">
        <v>46306</v>
      </c>
      <c r="C107" s="70" t="s">
        <v>766</v>
      </c>
      <c r="D107" s="72"/>
      <c r="E107" s="73"/>
      <c r="F107" s="70">
        <v>14.06</v>
      </c>
      <c r="G107" s="72">
        <v>13785.99</v>
      </c>
      <c r="H107" s="74">
        <f t="shared" si="9"/>
        <v>4492515.8599999994</v>
      </c>
      <c r="I107" s="75" t="s">
        <v>13</v>
      </c>
    </row>
    <row r="108" spans="2:10" ht="15" thickBot="1">
      <c r="B108" s="281">
        <v>46306</v>
      </c>
      <c r="C108" s="536" t="s">
        <v>804</v>
      </c>
      <c r="D108" s="246">
        <v>0.63</v>
      </c>
      <c r="E108" s="244">
        <v>612.95000000000005</v>
      </c>
      <c r="F108" s="150"/>
      <c r="G108" s="150"/>
      <c r="H108" s="245">
        <f>H107-E108</f>
        <v>4491902.9099999992</v>
      </c>
      <c r="I108" s="535" t="s">
        <v>25</v>
      </c>
    </row>
    <row r="109" spans="2:10" ht="15" thickBot="1">
      <c r="B109" s="69">
        <v>46307</v>
      </c>
      <c r="C109" s="70" t="s">
        <v>775</v>
      </c>
      <c r="D109" s="72"/>
      <c r="E109" s="73"/>
      <c r="F109" s="70">
        <v>11.76</v>
      </c>
      <c r="G109" s="72">
        <v>11532.02</v>
      </c>
      <c r="H109" s="74">
        <f>H108+G109</f>
        <v>4503434.9299999988</v>
      </c>
      <c r="I109" s="75" t="s">
        <v>13</v>
      </c>
    </row>
    <row r="110" spans="2:10" ht="15" thickBot="1">
      <c r="B110" s="69">
        <v>46307</v>
      </c>
      <c r="C110" s="70" t="s">
        <v>805</v>
      </c>
      <c r="D110" s="72"/>
      <c r="E110" s="73"/>
      <c r="F110" s="70">
        <v>11.76</v>
      </c>
      <c r="G110" s="72">
        <v>11532.02</v>
      </c>
      <c r="H110" s="74">
        <f>H109+G110</f>
        <v>4514966.9499999983</v>
      </c>
      <c r="I110" s="75" t="s">
        <v>13</v>
      </c>
    </row>
    <row r="111" spans="2:10" ht="15" thickBot="1">
      <c r="B111" s="281">
        <v>46307</v>
      </c>
      <c r="C111" s="536" t="s">
        <v>806</v>
      </c>
      <c r="D111" s="246">
        <v>0.63</v>
      </c>
      <c r="E111" s="244">
        <v>612.95000000000005</v>
      </c>
      <c r="F111" s="150"/>
      <c r="G111" s="150"/>
      <c r="H111" s="245">
        <f>H110-E111</f>
        <v>4514353.9999999981</v>
      </c>
      <c r="I111" s="535" t="s">
        <v>25</v>
      </c>
    </row>
    <row r="112" spans="2:10" ht="15" thickBot="1">
      <c r="B112" s="69">
        <v>46307</v>
      </c>
      <c r="C112" s="378" t="s">
        <v>807</v>
      </c>
      <c r="D112" s="72"/>
      <c r="E112" s="73"/>
      <c r="F112" s="381">
        <v>1019.77</v>
      </c>
      <c r="G112" s="72">
        <v>1000000</v>
      </c>
      <c r="H112" s="74">
        <f>H111+G112</f>
        <v>5514353.9999999981</v>
      </c>
      <c r="I112" s="75" t="s">
        <v>10</v>
      </c>
    </row>
    <row r="113" spans="2:10" ht="15" thickBot="1">
      <c r="B113" s="281">
        <v>46307</v>
      </c>
      <c r="C113" s="536" t="s">
        <v>808</v>
      </c>
      <c r="D113" s="246">
        <v>25.93</v>
      </c>
      <c r="E113" s="244">
        <v>25427</v>
      </c>
      <c r="F113" s="150"/>
      <c r="G113" s="150"/>
      <c r="H113" s="245">
        <f t="shared" ref="H113:H119" si="10">H112-E113</f>
        <v>5488926.9999999981</v>
      </c>
      <c r="I113" s="535" t="s">
        <v>13</v>
      </c>
    </row>
    <row r="114" spans="2:10" ht="15" thickBot="1">
      <c r="B114" s="281">
        <v>46307</v>
      </c>
      <c r="C114" s="536" t="s">
        <v>809</v>
      </c>
      <c r="D114" s="246">
        <v>191.87</v>
      </c>
      <c r="E114" s="244">
        <v>188152.52</v>
      </c>
      <c r="F114" s="150"/>
      <c r="G114" s="150"/>
      <c r="H114" s="245">
        <f t="shared" si="10"/>
        <v>5300774.4799999986</v>
      </c>
      <c r="I114" s="535" t="s">
        <v>13</v>
      </c>
    </row>
    <row r="115" spans="2:10" ht="15" thickBot="1">
      <c r="B115" s="281">
        <v>46307</v>
      </c>
      <c r="C115" s="536" t="s">
        <v>810</v>
      </c>
      <c r="D115" s="246">
        <v>31.29</v>
      </c>
      <c r="E115" s="244">
        <v>30688</v>
      </c>
      <c r="F115" s="150"/>
      <c r="G115" s="150"/>
      <c r="H115" s="245">
        <f t="shared" si="10"/>
        <v>5270086.4799999986</v>
      </c>
      <c r="I115" s="535" t="s">
        <v>13</v>
      </c>
    </row>
    <row r="116" spans="2:10" ht="15" thickBot="1">
      <c r="B116" s="281">
        <v>46307</v>
      </c>
      <c r="C116" s="536" t="s">
        <v>811</v>
      </c>
      <c r="D116" s="246">
        <v>54.92</v>
      </c>
      <c r="E116" s="244">
        <v>53852.47</v>
      </c>
      <c r="F116" s="150"/>
      <c r="G116" s="150"/>
      <c r="H116" s="245">
        <f t="shared" si="10"/>
        <v>5216234.0099999988</v>
      </c>
      <c r="I116" s="535" t="s">
        <v>13</v>
      </c>
      <c r="J116" s="538"/>
    </row>
    <row r="117" spans="2:10" ht="15" thickBot="1">
      <c r="B117" s="281">
        <v>46307</v>
      </c>
      <c r="C117" s="536" t="s">
        <v>812</v>
      </c>
      <c r="D117" s="246">
        <v>7.6</v>
      </c>
      <c r="E117" s="244">
        <v>7451.78</v>
      </c>
      <c r="F117" s="150"/>
      <c r="G117" s="150"/>
      <c r="H117" s="245">
        <f t="shared" si="10"/>
        <v>5208782.2299999986</v>
      </c>
      <c r="I117" s="535" t="s">
        <v>13</v>
      </c>
    </row>
    <row r="118" spans="2:10" ht="15" thickBot="1">
      <c r="B118" s="281">
        <v>46307</v>
      </c>
      <c r="C118" s="536" t="s">
        <v>813</v>
      </c>
      <c r="D118" s="246">
        <v>12.95</v>
      </c>
      <c r="E118" s="244">
        <v>12696.93</v>
      </c>
      <c r="F118" s="150"/>
      <c r="G118" s="150"/>
      <c r="H118" s="245">
        <f t="shared" si="10"/>
        <v>5196085.2999999989</v>
      </c>
      <c r="I118" s="535" t="s">
        <v>10</v>
      </c>
    </row>
    <row r="119" spans="2:10" ht="15" thickBot="1">
      <c r="B119" s="281">
        <v>46307</v>
      </c>
      <c r="C119" s="536" t="s">
        <v>31</v>
      </c>
      <c r="D119" s="246">
        <v>0.04</v>
      </c>
      <c r="E119" s="244">
        <v>38.090000000000003</v>
      </c>
      <c r="F119" s="150"/>
      <c r="G119" s="150"/>
      <c r="H119" s="245">
        <f t="shared" si="10"/>
        <v>5196047.209999999</v>
      </c>
      <c r="I119" s="535" t="s">
        <v>25</v>
      </c>
    </row>
    <row r="120" spans="2:10" ht="15" thickBot="1">
      <c r="B120" s="69">
        <v>46308</v>
      </c>
      <c r="C120" s="70" t="s">
        <v>774</v>
      </c>
      <c r="D120" s="72"/>
      <c r="E120" s="73"/>
      <c r="F120" s="70">
        <v>55.7</v>
      </c>
      <c r="G120" s="72">
        <v>54624.61</v>
      </c>
      <c r="H120" s="74">
        <f>H119+G120</f>
        <v>5250671.8199999994</v>
      </c>
      <c r="I120" s="75" t="s">
        <v>13</v>
      </c>
    </row>
    <row r="121" spans="2:10" ht="15" thickBot="1">
      <c r="B121" s="69">
        <v>46308</v>
      </c>
      <c r="C121" s="70" t="s">
        <v>814</v>
      </c>
      <c r="D121" s="72"/>
      <c r="E121" s="73"/>
      <c r="F121" s="70">
        <v>35.33</v>
      </c>
      <c r="G121" s="72">
        <v>34645.08</v>
      </c>
      <c r="H121" s="74">
        <f>H120+G121</f>
        <v>5285316.8999999994</v>
      </c>
      <c r="I121" s="75" t="s">
        <v>13</v>
      </c>
    </row>
    <row r="122" spans="2:10" ht="15" thickBot="1">
      <c r="B122" s="281">
        <v>46308</v>
      </c>
      <c r="C122" s="536" t="s">
        <v>815</v>
      </c>
      <c r="D122" s="246">
        <v>0.63</v>
      </c>
      <c r="E122" s="244">
        <v>613.75</v>
      </c>
      <c r="F122" s="150"/>
      <c r="G122" s="150"/>
      <c r="H122" s="245">
        <f>H121-E122</f>
        <v>5284703.1499999994</v>
      </c>
      <c r="I122" s="535" t="s">
        <v>25</v>
      </c>
    </row>
    <row r="123" spans="2:10" ht="29.5" thickBot="1">
      <c r="B123" s="281">
        <v>46308</v>
      </c>
      <c r="C123" s="537" t="s">
        <v>816</v>
      </c>
      <c r="D123" s="246">
        <v>1307.5899999999999</v>
      </c>
      <c r="E123" s="244">
        <v>1282242.8400000001</v>
      </c>
      <c r="F123" s="150"/>
      <c r="G123" s="150"/>
      <c r="H123" s="245">
        <f>H122-E123</f>
        <v>4002460.3099999996</v>
      </c>
      <c r="I123" s="535" t="s">
        <v>10</v>
      </c>
    </row>
    <row r="124" spans="2:10" ht="15" thickBot="1">
      <c r="B124" s="281">
        <v>46308</v>
      </c>
      <c r="C124" s="536" t="s">
        <v>817</v>
      </c>
      <c r="D124" s="246">
        <v>61.16</v>
      </c>
      <c r="E124" s="244">
        <v>59972.78</v>
      </c>
      <c r="F124" s="150"/>
      <c r="G124" s="150"/>
      <c r="H124" s="245">
        <f>H123-E124</f>
        <v>3942487.53</v>
      </c>
      <c r="I124" s="535" t="s">
        <v>10</v>
      </c>
    </row>
    <row r="125" spans="2:10" ht="15" thickBot="1">
      <c r="B125" s="281">
        <v>46308</v>
      </c>
      <c r="C125" s="536" t="s">
        <v>31</v>
      </c>
      <c r="D125" s="246">
        <v>0.18</v>
      </c>
      <c r="E125" s="244">
        <v>179.91</v>
      </c>
      <c r="F125" s="150"/>
      <c r="G125" s="150"/>
      <c r="H125" s="245">
        <f>H124-E125</f>
        <v>3942307.6199999996</v>
      </c>
      <c r="I125" s="535" t="s">
        <v>25</v>
      </c>
    </row>
    <row r="126" spans="2:10" ht="15" thickBot="1">
      <c r="B126" s="69">
        <v>46308</v>
      </c>
      <c r="C126" s="70" t="s">
        <v>818</v>
      </c>
      <c r="D126" s="72"/>
      <c r="E126" s="73"/>
      <c r="F126" s="381">
        <v>1879.65</v>
      </c>
      <c r="G126" s="72">
        <v>1843208.81</v>
      </c>
      <c r="H126" s="74">
        <f>H125+G126</f>
        <v>5785516.4299999997</v>
      </c>
      <c r="I126" s="75" t="s">
        <v>10</v>
      </c>
    </row>
    <row r="127" spans="2:10" ht="15" thickBot="1">
      <c r="B127" s="281">
        <v>46308</v>
      </c>
      <c r="C127" s="536" t="s">
        <v>819</v>
      </c>
      <c r="D127" s="246">
        <v>491.77</v>
      </c>
      <c r="E127" s="244">
        <v>482238.68</v>
      </c>
      <c r="F127" s="150"/>
      <c r="G127" s="150"/>
      <c r="H127" s="245">
        <f>H126-E127</f>
        <v>5303277.75</v>
      </c>
      <c r="I127" s="535" t="s">
        <v>10</v>
      </c>
    </row>
    <row r="128" spans="2:10" ht="15" thickBot="1">
      <c r="B128" s="281">
        <v>46308</v>
      </c>
      <c r="C128" s="536" t="s">
        <v>31</v>
      </c>
      <c r="D128" s="246">
        <v>1.48</v>
      </c>
      <c r="E128" s="244">
        <v>1446.71</v>
      </c>
      <c r="F128" s="150"/>
      <c r="G128" s="150"/>
      <c r="H128" s="245">
        <f>H127-E128</f>
        <v>5301831.04</v>
      </c>
      <c r="I128" s="535" t="s">
        <v>25</v>
      </c>
    </row>
    <row r="129" spans="2:9" ht="15" thickBot="1">
      <c r="B129" s="281"/>
      <c r="C129" s="466"/>
      <c r="D129" s="246"/>
      <c r="E129" s="244"/>
      <c r="F129" s="150"/>
      <c r="G129" s="150"/>
      <c r="H129" s="245"/>
      <c r="I129" s="464"/>
    </row>
    <row r="130" spans="2:9" ht="15" thickBot="1">
      <c r="B130" s="281"/>
      <c r="C130" s="466"/>
      <c r="D130" s="246"/>
      <c r="E130" s="244"/>
      <c r="F130" s="150"/>
      <c r="G130" s="150"/>
      <c r="H130" s="245"/>
      <c r="I130" s="464"/>
    </row>
    <row r="131" spans="2:9" ht="15" thickBot="1">
      <c r="B131" s="281"/>
      <c r="C131" s="466"/>
      <c r="D131" s="246"/>
      <c r="E131" s="244"/>
      <c r="F131" s="150"/>
      <c r="G131" s="150"/>
      <c r="H131" s="245"/>
      <c r="I131" s="464"/>
    </row>
    <row r="132" spans="2:9" ht="15" thickBot="1">
      <c r="B132" s="281"/>
      <c r="C132" s="466"/>
      <c r="D132" s="246"/>
      <c r="E132" s="244"/>
      <c r="F132" s="150"/>
      <c r="G132" s="150"/>
      <c r="H132" s="245"/>
      <c r="I132" s="464"/>
    </row>
    <row r="133" spans="2:9" ht="15" thickBot="1">
      <c r="B133" s="281"/>
      <c r="C133" s="466"/>
      <c r="D133" s="246"/>
      <c r="E133" s="244"/>
      <c r="F133" s="150"/>
      <c r="G133" s="150"/>
      <c r="H133" s="245"/>
      <c r="I133" s="464"/>
    </row>
    <row r="134" spans="2:9" ht="15" thickBot="1">
      <c r="B134" s="281"/>
      <c r="C134" s="466"/>
      <c r="D134" s="246"/>
      <c r="E134" s="244"/>
      <c r="F134" s="150"/>
      <c r="G134" s="150"/>
      <c r="H134" s="245"/>
      <c r="I134" s="464"/>
    </row>
    <row r="135" spans="2:9" ht="15" thickBot="1">
      <c r="B135" s="281"/>
      <c r="C135" s="466"/>
      <c r="D135" s="246"/>
      <c r="E135" s="244"/>
      <c r="F135" s="150"/>
      <c r="G135" s="150"/>
      <c r="H135" s="245"/>
      <c r="I135" s="464"/>
    </row>
    <row r="136" spans="2:9" ht="15" thickBot="1">
      <c r="B136" s="281"/>
      <c r="C136" s="466"/>
      <c r="D136" s="246"/>
      <c r="E136" s="244"/>
      <c r="F136" s="150"/>
      <c r="G136" s="150"/>
      <c r="H136" s="245"/>
      <c r="I136" s="464"/>
    </row>
    <row r="137" spans="2:9" ht="15" thickBot="1">
      <c r="B137" s="281"/>
      <c r="C137" s="466"/>
      <c r="D137" s="246"/>
      <c r="E137" s="244"/>
      <c r="F137" s="150"/>
      <c r="G137" s="150"/>
      <c r="H137" s="245"/>
      <c r="I137" s="464"/>
    </row>
    <row r="138" spans="2:9" ht="15" thickBot="1">
      <c r="B138" s="281"/>
      <c r="C138" s="466"/>
      <c r="D138" s="246"/>
      <c r="E138" s="244"/>
      <c r="F138" s="150"/>
      <c r="G138" s="150"/>
      <c r="H138" s="245"/>
      <c r="I138" s="464"/>
    </row>
    <row r="139" spans="2:9" ht="15" thickBot="1">
      <c r="B139" s="281"/>
      <c r="C139" s="466"/>
      <c r="D139" s="246"/>
      <c r="E139" s="244"/>
      <c r="F139" s="150"/>
      <c r="G139" s="150"/>
      <c r="H139" s="245"/>
      <c r="I139" s="464"/>
    </row>
    <row r="140" spans="2:9" ht="15" thickBot="1">
      <c r="B140" s="281"/>
      <c r="C140" s="466"/>
      <c r="D140" s="246"/>
      <c r="E140" s="244"/>
      <c r="F140" s="150"/>
      <c r="G140" s="150"/>
      <c r="H140" s="245"/>
      <c r="I140" s="464"/>
    </row>
    <row r="141" spans="2:9" ht="15" thickBot="1">
      <c r="B141" s="281"/>
      <c r="C141" s="466"/>
      <c r="D141" s="246"/>
      <c r="E141" s="244"/>
      <c r="F141" s="150"/>
      <c r="G141" s="150"/>
      <c r="H141" s="245"/>
      <c r="I141" s="464"/>
    </row>
    <row r="142" spans="2:9" ht="15" thickBot="1">
      <c r="B142" s="281"/>
      <c r="C142" s="466"/>
      <c r="D142" s="246"/>
      <c r="E142" s="244"/>
      <c r="F142" s="150"/>
      <c r="G142" s="150"/>
      <c r="H142" s="245"/>
      <c r="I142" s="464"/>
    </row>
    <row r="143" spans="2:9" ht="15" thickBot="1">
      <c r="B143" s="281"/>
      <c r="C143" s="466"/>
      <c r="D143" s="246"/>
      <c r="E143" s="244"/>
      <c r="F143" s="150"/>
      <c r="G143" s="150"/>
      <c r="H143" s="245"/>
      <c r="I143" s="464"/>
    </row>
    <row r="144" spans="2:9" ht="15" thickBot="1">
      <c r="B144" s="281"/>
      <c r="C144" s="466"/>
      <c r="D144" s="246"/>
      <c r="E144" s="244"/>
      <c r="F144" s="150"/>
      <c r="G144" s="150"/>
      <c r="H144" s="245"/>
      <c r="I144" s="464"/>
    </row>
    <row r="145" spans="2:9" ht="15" thickBot="1">
      <c r="B145" s="281"/>
      <c r="C145" s="466"/>
      <c r="D145" s="246"/>
      <c r="E145" s="244"/>
      <c r="F145" s="150"/>
      <c r="G145" s="150"/>
      <c r="H145" s="245"/>
      <c r="I145" s="464"/>
    </row>
    <row r="146" spans="2:9" ht="15" thickBot="1">
      <c r="B146" s="281"/>
      <c r="C146" s="466"/>
      <c r="D146" s="246"/>
      <c r="E146" s="244"/>
      <c r="F146" s="150"/>
      <c r="G146" s="150"/>
      <c r="H146" s="245"/>
      <c r="I146" s="464"/>
    </row>
    <row r="147" spans="2:9" ht="15" thickBot="1">
      <c r="B147" s="281"/>
      <c r="C147" s="466"/>
      <c r="D147" s="246"/>
      <c r="E147" s="244"/>
      <c r="F147" s="150"/>
      <c r="G147" s="150"/>
      <c r="H147" s="245"/>
      <c r="I147" s="464"/>
    </row>
    <row r="148" spans="2:9" ht="15" thickBot="1">
      <c r="B148" s="281"/>
      <c r="C148" s="466"/>
      <c r="D148" s="246"/>
      <c r="E148" s="244"/>
      <c r="F148" s="150"/>
      <c r="G148" s="150"/>
      <c r="H148" s="245"/>
      <c r="I148" s="464"/>
    </row>
    <row r="149" spans="2:9" ht="15" thickBot="1">
      <c r="B149" s="281"/>
      <c r="C149" s="466"/>
      <c r="D149" s="246"/>
      <c r="E149" s="244"/>
      <c r="F149" s="150"/>
      <c r="G149" s="150"/>
      <c r="H149" s="245"/>
      <c r="I149" s="464"/>
    </row>
    <row r="150" spans="2:9" ht="15" thickBot="1">
      <c r="B150" s="281"/>
      <c r="C150" s="466"/>
      <c r="D150" s="246"/>
      <c r="E150" s="244"/>
      <c r="F150" s="150"/>
      <c r="G150" s="150"/>
      <c r="H150" s="245"/>
      <c r="I150" s="46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Hoja1</vt:lpstr>
      <vt:lpstr>Pagos realizados desde SUM. SEV</vt:lpstr>
      <vt:lpstr>General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  <vt:lpstr>'Mayo 2026'!Área_de_impresión</vt:lpstr>
      <vt:lpstr>'Pagos realizados desde SUM. SEV'!Área_de_impresión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YOHALY</dc:creator>
  <cp:lastModifiedBy>LUDERT</cp:lastModifiedBy>
  <cp:lastPrinted>2026-10-05T23:28:27Z</cp:lastPrinted>
  <dcterms:created xsi:type="dcterms:W3CDTF">2026-04-14T20:54:00Z</dcterms:created>
  <dcterms:modified xsi:type="dcterms:W3CDTF">2026-10-18T03:17:48Z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73C2FB5F6EED4A49BEF4CE47DBA6F484_12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